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0000001_{098F1D99-A769-42C8-911C-817700E9BF10}" xr6:coauthVersionLast="47" xr6:coauthVersionMax="47" xr10:uidLastSave="{00000000-0000-0000-0000-000000000000}"/>
  <bookViews>
    <workbookView xWindow="-120" yWindow="-120" windowWidth="29040" windowHeight="15720" xr2:uid="{342ED8F0-078E-4AAC-881B-4A1A40341344}"/>
  </bookViews>
  <sheets>
    <sheet name="Dashboard" sheetId="5" r:id="rId1"/>
    <sheet name="Data_Analyze" sheetId="7" r:id="rId2"/>
    <sheet name="Transaction_ALL" sheetId="6" r:id="rId3"/>
  </sheets>
  <definedNames>
    <definedName name="_xlchart.v5.0" hidden="1">Data_Analyze!$H$35</definedName>
    <definedName name="_xlchart.v5.1" hidden="1">Data_Analyze!$H$36:$H$43</definedName>
    <definedName name="_xlchart.v5.10" hidden="1">Data_Analyze!$I$35</definedName>
    <definedName name="_xlchart.v5.11" hidden="1">Data_Analyze!$I$36:$I$43</definedName>
    <definedName name="_xlchart.v5.12" hidden="1">Transaction_ALL!$K:$K</definedName>
    <definedName name="_xlchart.v5.13" hidden="1">Data_Analyze!$G$42</definedName>
    <definedName name="_xlchart.v5.14" hidden="1">Data_Analyze!$G$43</definedName>
    <definedName name="_xlchart.v5.15" hidden="1">Data_Analyze!$H$36:$H$42</definedName>
    <definedName name="_xlchart.v5.16" hidden="1">Data_Analyze!$H$43</definedName>
    <definedName name="_xlchart.v5.17" hidden="1">Data_Analyze!$I$36:$I$42</definedName>
    <definedName name="_xlchart.v5.18" hidden="1">Data_Analyze!$I$43</definedName>
    <definedName name="_xlchart.v5.19" hidden="1">Data_Analyze!$H$35</definedName>
    <definedName name="_xlchart.v5.2" hidden="1">Data_Analyze!$I$35</definedName>
    <definedName name="_xlchart.v5.20" hidden="1">Data_Analyze!$H$36:$H$43</definedName>
    <definedName name="_xlchart.v5.21" hidden="1">Data_Analyze!$I$35</definedName>
    <definedName name="_xlchart.v5.22" hidden="1">Data_Analyze!$I$36:$I$43</definedName>
    <definedName name="_xlchart.v5.23" hidden="1">Data_Analyze!$I$32</definedName>
    <definedName name="_xlchart.v5.24" hidden="1">Data_Analyze!$I$33:$I$43</definedName>
    <definedName name="_xlchart.v5.25" hidden="1">Data_Analyze!$J$32</definedName>
    <definedName name="_xlchart.v5.26" hidden="1">Data_Analyze!$J$33:$J$42</definedName>
    <definedName name="_xlchart.v5.27" hidden="1">Data_Analyze!$G$42</definedName>
    <definedName name="_xlchart.v5.28" hidden="1">Data_Analyze!$H$36:$H$42</definedName>
    <definedName name="_xlchart.v5.29" hidden="1">Data_Analyze!$H$43</definedName>
    <definedName name="_xlchart.v5.3" hidden="1">Data_Analyze!$I$36:$I$43</definedName>
    <definedName name="_xlchart.v5.30" hidden="1">Data_Analyze!$I$36:$I$42</definedName>
    <definedName name="_xlchart.v5.31" hidden="1">Data_Analyze!$I$43</definedName>
    <definedName name="_xlchart.v5.32" hidden="1">Data_Analyze!$H$35</definedName>
    <definedName name="_xlchart.v5.33" hidden="1">Data_Analyze!$H$36:$H$43</definedName>
    <definedName name="_xlchart.v5.34" hidden="1">Data_Analyze!$I$34</definedName>
    <definedName name="_xlchart.v5.35" hidden="1">Data_Analyze!$I$35</definedName>
    <definedName name="_xlchart.v5.36" hidden="1">Data_Analyze!$I$36:$I$43</definedName>
    <definedName name="_xlchart.v5.37" hidden="1">Data_Analyze!$H$35</definedName>
    <definedName name="_xlchart.v5.38" hidden="1">Data_Analyze!$H$36:$H$43</definedName>
    <definedName name="_xlchart.v5.39" hidden="1">Data_Analyze!$I$35</definedName>
    <definedName name="_xlchart.v5.4" hidden="1">Data_Analyze!$I$32</definedName>
    <definedName name="_xlchart.v5.40" hidden="1">Data_Analyze!$I$36:$I$43</definedName>
    <definedName name="_xlchart.v5.41" hidden="1">Transaction_ALL!$I$1</definedName>
    <definedName name="_xlchart.v5.42" hidden="1">Transaction_ALL!$I$2:$I$251</definedName>
    <definedName name="_xlchart.v5.43" hidden="1">Transaction_ALL!$K$1</definedName>
    <definedName name="_xlchart.v5.44" hidden="1">Transaction_ALL!$K$2:$K$251</definedName>
    <definedName name="_xlchart.v5.45" hidden="1">Transaction_ALL!$I$1</definedName>
    <definedName name="_xlchart.v5.46" hidden="1">Transaction_ALL!$I$2:$I$251</definedName>
    <definedName name="_xlchart.v5.47" hidden="1">Transaction_ALL!$K$1</definedName>
    <definedName name="_xlchart.v5.48" hidden="1">Transaction_ALL!$K$2:$K$251</definedName>
    <definedName name="_xlchart.v5.5" hidden="1">Data_Analyze!$I$33:$I$43</definedName>
    <definedName name="_xlchart.v5.6" hidden="1">Data_Analyze!$J$32</definedName>
    <definedName name="_xlchart.v5.7" hidden="1">Data_Analyze!$J$33:$J$42</definedName>
    <definedName name="_xlchart.v5.8" hidden="1">Data_Analyze!$H$35</definedName>
    <definedName name="_xlchart.v5.9" hidden="1">Data_Analyze!$H$36:$H$43</definedName>
    <definedName name="ExternalData_1" localSheetId="2" hidden="1">Transaction_ALL!$A$1:$M$251</definedName>
    <definedName name="Slicer_Location">#N/A</definedName>
  </definedNames>
  <calcPr calcId="191029"/>
  <pivotCaches>
    <pivotCache cacheId="0" r:id="rId4"/>
    <pivotCache cacheId="2" r:id="rId5"/>
    <pivotCache cacheId="3" r:id="rId6"/>
    <pivotCache cacheId="4" r:id="rId7"/>
    <pivotCache cacheId="5" r:id="rId8"/>
    <pivotCache cacheId="6" r:id="rId9"/>
    <pivotCache cacheId="7" r:id="rId10"/>
    <pivotCache cacheId="8" r:id="rId11"/>
    <pivotCache cacheId="9" r:id="rId12"/>
    <pivotCache cacheId="18" r:id="rId13"/>
  </pivotCaches>
  <fileRecoveryPr repairLoad="1"/>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_All_653cc014-29df-4170-833b-ef95942d0ae8" name="Transaction_All" connection="Query - Transaction_All"/>
          <x15:modelTable id="Transaction_Success_8a2b1a57-5344-45a7-8a06-ef7bdf892df4" name="Transaction_Success" connection="Query - Transaction_Success"/>
          <x15:modelTable id="Location_Detail_adc2b484-27fb-4840-a028-9cc92e13f8a2" name="Location_Detail" connection="Query - Location_Detail"/>
          <x15:modelTable id="Transaction_Final_4b8ccbe6-2478-4aa4-b3ec-0d834d79128d" name="Transaction_Final" connection="Query - Transaction_Final"/>
        </x15:modelTables>
      </x15:dataModel>
    </ext>
  </extLst>
</workbook>
</file>

<file path=xl/calcChain.xml><?xml version="1.0" encoding="utf-8"?>
<calcChain xmlns="http://schemas.openxmlformats.org/spreadsheetml/2006/main">
  <c r="L39" i="5" l="1"/>
  <c r="L36" i="5"/>
  <c r="L31" i="5"/>
  <c r="L43" i="5"/>
  <c r="B29" i="5"/>
  <c r="E37" i="7"/>
  <c r="B8" i="5"/>
  <c r="G8" i="5"/>
  <c r="L8"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787008-739F-438A-943E-C882FBE0D14E}" name="Query - Location_Detail" description="Connection to the 'Location_Detail' query in the workbook." type="100" refreshedVersion="8" minRefreshableVersion="5">
    <extLst>
      <ext xmlns:x15="http://schemas.microsoft.com/office/spreadsheetml/2010/11/main" uri="{DE250136-89BD-433C-8126-D09CA5730AF9}">
        <x15:connection id="8acb063a-331f-42a5-b015-7580671099d9"/>
      </ext>
    </extLst>
  </connection>
  <connection id="2" xr16:uid="{ADFA4517-777C-4956-9A76-489742A27450}" name="Query - Transaction_All" description="Connection to the 'Transaction_All' query in the workbook." type="100" refreshedVersion="8" minRefreshableVersion="5">
    <extLst>
      <ext xmlns:x15="http://schemas.microsoft.com/office/spreadsheetml/2010/11/main" uri="{DE250136-89BD-433C-8126-D09CA5730AF9}">
        <x15:connection id="608802cb-b8c3-43e0-b99f-e2150d83871b">
          <x15:oledbPr connection="Provider=Microsoft.Mashup.OleDb.1;Data Source=$Workbook$;Location=Transaction_All;Extended Properties=&quot;&quot;">
            <x15:dbTables>
              <x15:dbTable name="Transaction_All"/>
            </x15:dbTables>
          </x15:oledbPr>
        </x15:connection>
      </ext>
    </extLst>
  </connection>
  <connection id="3" xr16:uid="{8B2C1E63-4810-4771-9F5E-C502322A3CD4}" keepAlive="1" name="Query - Transaction_ALL (2)" description="Connection to the 'Transaction_ALL (2)' query in the workbook." type="5" refreshedVersion="8" background="1" saveData="1">
    <dbPr connection="Provider=Microsoft.Mashup.OleDb.1;Data Source=$Workbook$;Location=&quot;Transaction_ALL (2)&quot;;Extended Properties=&quot;&quot;" command="SELECT * FROM [Transaction_ALL (2)]"/>
  </connection>
  <connection id="4" xr16:uid="{52DAC4C5-F5A3-404C-AD60-55DC92F7EDBE}" name="Query - Transaction_Final" description="Connection to the 'Transaction_Final' query in the workbook." type="100" refreshedVersion="8" minRefreshableVersion="5">
    <extLst>
      <ext xmlns:x15="http://schemas.microsoft.com/office/spreadsheetml/2010/11/main" uri="{DE250136-89BD-433C-8126-D09CA5730AF9}">
        <x15:connection id="60c22d23-fa3a-40f1-ae70-8f334c114891">
          <x15:oledbPr connection="Provider=Microsoft.Mashup.OleDb.1;Data Source=$Workbook$;Location=Transaction_Final;Extended Properties=&quot;&quot;">
            <x15:dbTables>
              <x15:dbTable name="Transaction_Final"/>
            </x15:dbTables>
          </x15:oledbPr>
        </x15:connection>
      </ext>
    </extLst>
  </connection>
  <connection id="5" xr16:uid="{B15AB4CD-993A-49F4-A5A6-14BB4F22B916}" keepAlive="1" name="Query - Transaction_Final (2)" description="Connection to the 'Transaction_Final (2)' query in the workbook." type="5" refreshedVersion="0" background="1">
    <dbPr connection="Provider=Microsoft.Mashup.OleDb.1;Data Source=$Workbook$;Location=&quot;Transaction_Final (2)&quot;;Extended Properties=&quot;&quot;" command="SELECT * FROM [Transaction_Final (2)]"/>
  </connection>
  <connection id="6" xr16:uid="{A6DBC111-A9A1-4573-B2A6-0E87B63CD45E}" name="Query - Transaction_Success" description="Connection to the 'Transaction_Success' query in the workbook." type="100" refreshedVersion="8" minRefreshableVersion="5">
    <extLst>
      <ext xmlns:x15="http://schemas.microsoft.com/office/spreadsheetml/2010/11/main" uri="{DE250136-89BD-433C-8126-D09CA5730AF9}">
        <x15:connection id="83a1d04d-bde8-477b-8ef5-afc93769b8c8">
          <x15:oledbPr connection="Provider=Microsoft.Mashup.OleDb.1;Data Source=$Workbook$;Location=Transaction_Success;Extended Properties=&quot;&quot;">
            <x15:dbTables>
              <x15:dbTable name="Transaction_Success"/>
            </x15:dbTables>
          </x15:oledbPr>
        </x15:connection>
      </ext>
    </extLst>
  </connection>
  <connection id="7" xr16:uid="{7DE4B1BC-D892-4A15-9780-848EE74EE4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<sst xmlns="http://schemas.openxmlformats.org/spreadsheetml/2006/main" count="2400" uniqueCount="360">
  <si>
    <t>ORD0001</t>
  </si>
  <si>
    <t>March</t>
  </si>
  <si>
    <t>Friday</t>
  </si>
  <si>
    <t>Running Shoes</t>
  </si>
  <si>
    <t>Footwear</t>
  </si>
  <si>
    <t>Emma Clark</t>
  </si>
  <si>
    <t>New York</t>
  </si>
  <si>
    <t>Debit Card</t>
  </si>
  <si>
    <t>Cancelled</t>
  </si>
  <si>
    <t>ORD0002</t>
  </si>
  <si>
    <t>Thursday</t>
  </si>
  <si>
    <t>Headphones</t>
  </si>
  <si>
    <t>Electronics</t>
  </si>
  <si>
    <t>Emily Johnson</t>
  </si>
  <si>
    <t>San Francisco</t>
  </si>
  <si>
    <t>Pending</t>
  </si>
  <si>
    <t>ORD0003</t>
  </si>
  <si>
    <t>February</t>
  </si>
  <si>
    <t>Saturday</t>
  </si>
  <si>
    <t>John Doe</t>
  </si>
  <si>
    <t>Denver</t>
  </si>
  <si>
    <t>Amazon Pay</t>
  </si>
  <si>
    <t>ORD0004</t>
  </si>
  <si>
    <t>Wednesday</t>
  </si>
  <si>
    <t>Olivia Wilson</t>
  </si>
  <si>
    <t>Dallas</t>
  </si>
  <si>
    <t>Credit Card</t>
  </si>
  <si>
    <t>ORD0005</t>
  </si>
  <si>
    <t>Monday</t>
  </si>
  <si>
    <t>Smartwatch</t>
  </si>
  <si>
    <t>ORD0006</t>
  </si>
  <si>
    <t>T-Shirt</t>
  </si>
  <si>
    <t>Clothing</t>
  </si>
  <si>
    <t>ORD0007</t>
  </si>
  <si>
    <t>Tuesday</t>
  </si>
  <si>
    <t>Houston</t>
  </si>
  <si>
    <t>PayPal</t>
  </si>
  <si>
    <t>Completed</t>
  </si>
  <si>
    <t>ORD0008</t>
  </si>
  <si>
    <t>Sunday</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</si>
  <si>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</si>
  <si>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</si>
  <si>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</si>
  <si>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</si>
  <si>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</si>
  <si>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</si>
  <si>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</si>
  <si>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</si>
  <si>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</si>
  <si>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</si>
  <si>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</si>
  <si>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</si>
  <si>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</si>
  <si>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</si>
  <si>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</si>
  <si>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</si>
  <si>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</si>
  <si>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</si>
  <si>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</si>
  <si>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</si>
  <si>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</si>
  <si>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</si>
  <si>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</si>
  <si>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</si>
  <si>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</si>
  <si>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April</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</si>
  <si>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</si>
  <si>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</si>
  <si>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</si>
  <si>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</si>
  <si>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</si>
  <si>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</si>
  <si>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</si>
  <si>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</si>
  <si>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</si>
  <si>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</si>
  <si>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</si>
  <si>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</si>
  <si>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</si>
  <si>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</si>
  <si>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</si>
  <si>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</si>
  <si>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</si>
  <si>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</si>
  <si>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</si>
  <si>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</si>
  <si>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</si>
  <si>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</si>
  <si>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</si>
  <si>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</si>
  <si>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</si>
  <si>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</si>
  <si>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</si>
  <si>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</si>
  <si>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</si>
  <si>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</si>
  <si>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</si>
  <si>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</si>
  <si>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</si>
  <si>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</si>
  <si>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</si>
  <si>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</si>
  <si>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</si>
  <si>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</si>
  <si>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</si>
  <si>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</si>
  <si>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</si>
  <si>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</si>
  <si>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</si>
  <si>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</si>
  <si>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</si>
  <si>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</si>
  <si>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</si>
  <si>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</si>
  <si>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</si>
  <si>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</si>
  <si>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</si>
  <si>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</si>
  <si>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</si>
  <si>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</si>
  <si>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</si>
  <si>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</si>
  <si>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</si>
  <si>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</si>
  <si>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</si>
  <si>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</si>
  <si>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</si>
  <si>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</si>
  <si>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</si>
  <si>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</si>
  <si>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</si>
  <si>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</si>
  <si>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</si>
  <si>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</si>
  <si>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</si>
  <si>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</si>
  <si>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</si>
  <si>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</si>
  <si>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</si>
  <si>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</si>
  <si>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</si>
  <si>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</si>
  <si>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</si>
  <si>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</si>
  <si>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</si>
  <si>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</si>
  <si>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</si>
  <si>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</si>
  <si>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</si>
  <si>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</si>
  <si>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</si>
  <si>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</si>
  <si>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</si>
  <si>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</si>
  <si>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</si>
  <si>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</si>
  <si>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</si>
  <si>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</si>
  <si>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</si>
  <si>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</si>
  <si>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</si>
  <si>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</si>
  <si>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</si>
  <si>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</si>
  <si>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</si>
  <si>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</si>
  <si>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</si>
  <si>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</si>
  <si>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</si>
  <si>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</si>
  <si>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</si>
  <si>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</si>
  <si>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</si>
  <si>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</si>
  <si>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</si>
  <si>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</si>
  <si>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</si>
  <si>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</si>
  <si>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</si>
  <si>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</si>
  <si>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</si>
  <si>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</si>
  <si>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</si>
  <si>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</si>
  <si>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</si>
  <si>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</si>
  <si>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</si>
  <si>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</si>
  <si>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</si>
  <si>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</si>
  <si>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</si>
  <si>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</si>
  <si>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</si>
  <si>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</si>
  <si>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</si>
  <si>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</si>
  <si>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</si>
  <si>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</si>
  <si>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</si>
  <si>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</si>
  <si>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</si>
  <si>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</si>
  <si>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</si>
  <si>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</si>
  <si>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</si>
  <si>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</si>
  <si>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</si>
  <si>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</si>
  <si>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</si>
  <si>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</si>
  <si>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</si>
  <si>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</si>
  <si>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</si>
  <si>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</si>
  <si>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</si>
  <si>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</si>
  <si>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</si>
  <si>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</si>
  <si>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</si>
  <si>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</si>
  <si>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</si>
  <si>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</si>
  <si>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</si>
  <si>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</si>
  <si>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</si>
  <si>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</si>
  <si>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</si>
  <si>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</si>
  <si>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</si>
  <si>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</si>
  <si>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</si>
  <si>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</si>
  <si>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</si>
  <si>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</si>
  <si>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</si>
  <si>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</si>
  <si>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</si>
  <si>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</si>
  <si>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</si>
  <si>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</si>
  <si>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</si>
  <si>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</si>
  <si>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</si>
  <si>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</si>
  <si>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</si>
  <si>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</si>
  <si>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</si>
  <si>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</si>
  <si>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</si>
  <si>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</si>
  <si>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</si>
  <si>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</si>
  <si>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</si>
  <si>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</si>
  <si>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</si>
  <si>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</si>
  <si>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</si>
  <si>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</si>
  <si>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</si>
  <si>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</si>
  <si>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</si>
  <si>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</si>
  <si>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</si>
  <si>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</si>
  <si>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</si>
  <si>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</si>
  <si>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</si>
  <si>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</si>
  <si>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</si>
  <si>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</si>
  <si>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</si>
  <si>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</si>
  <si>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</si>
  <si>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</si>
  <si>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</si>
  <si>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</si>
  <si>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</si>
  <si>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</si>
  <si>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</si>
  <si>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</si>
  <si>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</si>
  <si>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</si>
  <si>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</si>
  <si>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</si>
  <si>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</si>
  <si>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</si>
  <si>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</si>
  <si>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</si>
  <si>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</si>
  <si>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</si>
  <si>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</si>
  <si>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</si>
  <si>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</si>
  <si>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</si>
  <si>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</si>
  <si>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</si>
  <si>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</si>
  <si>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</si>
  <si>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</si>
  <si>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</si>
  <si>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</si>
  <si>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</si>
  <si>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</si>
  <si>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Sum of Total Sales</t>
  </si>
  <si>
    <t>Row Labels</t>
  </si>
  <si>
    <t>Grand Total</t>
  </si>
  <si>
    <t>Sum of Quantity</t>
  </si>
  <si>
    <t>Count of Order ID</t>
  </si>
  <si>
    <t>Order ID</t>
  </si>
  <si>
    <t>Date</t>
  </si>
  <si>
    <t>Month</t>
  </si>
  <si>
    <t>Day</t>
  </si>
  <si>
    <t>Product</t>
  </si>
  <si>
    <t>Category</t>
  </si>
  <si>
    <t>Price</t>
  </si>
  <si>
    <t>Quantity</t>
  </si>
  <si>
    <t>Total Sales</t>
  </si>
  <si>
    <t>Customer Name</t>
  </si>
  <si>
    <t>Payment Method</t>
  </si>
  <si>
    <t>Status</t>
  </si>
  <si>
    <t>State</t>
  </si>
  <si>
    <t>City</t>
  </si>
  <si>
    <t>Massachusetts</t>
  </si>
  <si>
    <t>Illinois</t>
  </si>
  <si>
    <t>Texas</t>
  </si>
  <si>
    <t>Colorado</t>
  </si>
  <si>
    <t>California</t>
  </si>
  <si>
    <t>Florida</t>
  </si>
  <si>
    <t>Washington</t>
  </si>
  <si>
    <t>Total Success Order</t>
  </si>
  <si>
    <t>Average Order Value</t>
  </si>
  <si>
    <t>AOV</t>
  </si>
  <si>
    <t>Top Payment Method</t>
  </si>
  <si>
    <t>Total Sales Each Location</t>
  </si>
  <si>
    <t>Top 3 Best-Selling Products</t>
  </si>
  <si>
    <t>Top Customer</t>
  </si>
  <si>
    <t>Customer Location</t>
  </si>
  <si>
    <t>Method</t>
  </si>
  <si>
    <t>Percentages</t>
  </si>
  <si>
    <t>CUSTOMER TREND DASHBOARD</t>
  </si>
  <si>
    <t>https://github.com/ramayogas/DataAnalystProtfolio/tree/main/excel_consumer_trends_miami_paypal</t>
  </si>
  <si>
    <t>Total Sales Per Months</t>
  </si>
  <si>
    <t>Total Sales Per Months Per City</t>
  </si>
  <si>
    <t>Sales Percentage by Product</t>
  </si>
  <si>
    <t>Total Sales Per Customer</t>
  </si>
  <si>
    <t>Total Quality Per Customer</t>
  </si>
  <si>
    <t>Total Payment Method Used</t>
  </si>
  <si>
    <t>Total Sales Per Payment Method</t>
  </si>
  <si>
    <t>Total Product Sold</t>
  </si>
  <si>
    <t>Total Sales Each Day</t>
  </si>
  <si>
    <t>Sum of Total Sales and Total Order</t>
  </si>
  <si>
    <t>California, United States</t>
  </si>
  <si>
    <t>Colorado, United States</t>
  </si>
  <si>
    <t>Florida, United States</t>
  </si>
  <si>
    <t>Illinois, United States</t>
  </si>
  <si>
    <t>Massachusetts, United States</t>
  </si>
  <si>
    <t>New York, United States</t>
  </si>
  <si>
    <t>Texas, United States</t>
  </si>
  <si>
    <t>Washington, United States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</si>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</sst>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_-[$$-409]* #,##0.00_ ;_-[$$-409]* \-#,##0.00\ ;_-[$$-409]* &quot;-&quot;??_ ;_-@_ "/>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22"/>
      <color theme="4" tint="-0.499984740745262"/>
      <name val="Calibri"/>
      <family val="2"/>
      <scheme val="minor"/>
    </font>
    <font>
      <i/>
      <sz val="14"/>
      <color theme="4" tint="-0.249977111117893"/>
      <name val="Calibri"/>
      <family val="2"/>
      <scheme val="minor"/>
    </font>
    <font>
      <u/>
      <sz val="11"/>
      <color theme="10"/>
      <name val="Calibri"/>
      <family val="2"/>
      <scheme val="minor"/>
    </font>
    <font>
      <b/>
      <sz val="28"/>
      <color theme="3"/>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4"/>
      <color theme="1" tint="0.14999847407452621"/>
      <name val="Calibri"/>
      <family val="2"/>
      <scheme val="minor"/>
    </font>
    <font>
      <sz val="11"/>
      <color theme="1" tint="0.14999847407452621"/>
      <name val="Calibri"/>
      <family val="2"/>
      <scheme val="minor"/>
    </font>
    <font>
      <b/>
      <sz val="11"/>
      <color theme="1" tint="0.1499984740745262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s>
  <borders count="29">
    <border>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0"/>
      </left>
      <right style="thin">
        <color theme="0"/>
      </right>
      <top style="thin">
        <color theme="4" tint="-0.249977111117893"/>
      </top>
      <bottom/>
      <diagonal/>
    </border>
    <border>
      <left style="thin">
        <color theme="0"/>
      </left>
      <right style="thin">
        <color theme="4" tint="-0.249977111117893"/>
      </right>
      <top style="thin">
        <color theme="4" tint="-0.249977111117893"/>
      </top>
      <bottom/>
      <diagonal/>
    </border>
    <border>
      <left style="thin">
        <color theme="4" tint="-0.249977111117893"/>
      </left>
      <right style="thin">
        <color theme="0"/>
      </right>
      <top style="thin">
        <color theme="4" tint="-0.249977111117893"/>
      </top>
      <bottom/>
      <diagonal/>
    </border>
    <border>
      <left style="thin">
        <color theme="4" tint="-0.249977111117893"/>
      </left>
      <right style="thin">
        <color theme="0"/>
      </right>
      <top style="thin">
        <color theme="4" tint="-0.249977111117893"/>
      </top>
      <bottom style="thin">
        <color theme="4" tint="-0.249977111117893"/>
      </bottom>
      <diagonal/>
    </border>
    <border>
      <left style="thin">
        <color theme="0"/>
      </left>
      <right style="thin">
        <color theme="0"/>
      </right>
      <top style="thin">
        <color theme="4" tint="-0.249977111117893"/>
      </top>
      <bottom style="thin">
        <color theme="4" tint="-0.249977111117893"/>
      </bottom>
      <diagonal/>
    </border>
    <border>
      <left style="thin">
        <color theme="0"/>
      </left>
      <right style="thin">
        <color theme="4" tint="-0.249977111117893"/>
      </right>
      <top style="thin">
        <color theme="4" tint="-0.249977111117893"/>
      </top>
      <bottom style="thin">
        <color theme="4" tint="-0.249977111117893"/>
      </bottom>
      <diagonal/>
    </border>
    <border>
      <left style="thin">
        <color theme="0"/>
      </left>
      <right/>
      <top style="thin">
        <color theme="4" tint="-0.249977111117893"/>
      </top>
      <bottom/>
      <diagonal/>
    </border>
    <border>
      <left style="thin">
        <color theme="0"/>
      </left>
      <right/>
      <top style="thin">
        <color theme="4" tint="-0.249977111117893"/>
      </top>
      <bottom style="thin">
        <color theme="4" tint="-0.249977111117893"/>
      </bottom>
      <diagonal/>
    </border>
    <border>
      <left/>
      <right style="thin">
        <color theme="0"/>
      </right>
      <top style="thin">
        <color theme="4" tint="-0.249977111117893"/>
      </top>
      <bottom/>
      <diagonal/>
    </border>
    <border>
      <left/>
      <right style="thin">
        <color theme="0"/>
      </right>
      <top style="thin">
        <color theme="4" tint="-0.249977111117893"/>
      </top>
      <bottom style="thin">
        <color theme="4" tint="-0.249977111117893"/>
      </bottom>
      <diagonal/>
    </border>
    <border>
      <left/>
      <right/>
      <top/>
      <bottom style="thin">
        <color theme="4" tint="0.39997558519241921"/>
      </bottom>
      <diagonal/>
    </border>
    <border>
      <left style="thin">
        <color theme="4" tint="-0.249977111117893"/>
      </left>
      <right/>
      <top style="thin">
        <color theme="4" tint="-0.249977111117893"/>
      </top>
      <bottom/>
      <diagonal/>
    </border>
    <border>
      <left/>
      <right/>
      <top style="thin">
        <color theme="4" tint="-0.249977111117893"/>
      </top>
      <bottom/>
      <diagonal/>
    </border>
    <border>
      <left/>
      <right style="thin">
        <color theme="4" tint="-0.249977111117893"/>
      </right>
      <top style="thin">
        <color theme="4" tint="-0.249977111117893"/>
      </top>
      <bottom/>
      <diagonal/>
    </border>
    <border>
      <left style="thin">
        <color theme="4" tint="-0.249977111117893"/>
      </left>
      <right/>
      <top/>
      <bottom/>
      <diagonal/>
    </border>
    <border>
      <left/>
      <right style="thin">
        <color theme="4" tint="-0.249977111117893"/>
      </right>
      <top/>
      <bottom/>
      <diagonal/>
    </border>
    <border>
      <left style="thin">
        <color theme="4" tint="-0.249977111117893"/>
      </left>
      <right/>
      <top/>
      <bottom style="thin">
        <color theme="4" tint="-0.249977111117893"/>
      </bottom>
      <diagonal/>
    </border>
    <border>
      <left/>
      <right/>
      <top/>
      <bottom style="thin">
        <color theme="4" tint="-0.249977111117893"/>
      </bottom>
      <diagonal/>
    </border>
    <border>
      <left/>
      <right style="thin">
        <color theme="4" tint="-0.249977111117893"/>
      </right>
      <top/>
      <bottom style="thin">
        <color theme="4" tint="-0.24997711111789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2" fontId="1" fillId="0" borderId="0" applyFont="0" applyFill="0" applyBorder="0" applyAlignment="0" applyProtection="0"/>
    <xf numFmtId="0" fontId="5" fillId="0" borderId="0" applyNumberFormat="0" applyFill="0" applyBorder="0" applyAlignment="0" applyProtection="0"/>
  </cellStyleXfs>
  <cellXfs count="59">
    <xf numFmtId="0" fontId="0" fillId="0" borderId="0" xfId="0"/>
    <xf numFmtId="0" fontId="0" fillId="3" borderId="0" xfId="0" applyFill="1"/>
    <xf numFmtId="14" fontId="0" fillId="0" borderId="0" xfId="0" applyNumberFormat="1"/>
    <xf numFmtId="0" fontId="2" fillId="3" borderId="0" xfId="0" applyFont="1" applyFill="1"/>
    <xf numFmtId="0" fontId="7" fillId="0" borderId="0" xfId="0" applyFont="1"/>
    <xf numFmtId="0" fontId="9" fillId="0" borderId="0" xfId="0" applyFont="1"/>
    <xf numFmtId="0" fontId="8" fillId="0" borderId="0" xfId="0" applyFont="1"/>
    <xf numFmtId="0" fontId="10" fillId="0" borderId="0" xfId="0" pivotButton="1" applyFont="1"/>
    <xf numFmtId="0" fontId="10" fillId="0" borderId="0" xfId="0" applyFont="1"/>
    <xf numFmtId="0" fontId="11" fillId="0" borderId="0" xfId="0" applyFont="1" applyAlignment="1">
      <alignment horizontal="left"/>
    </xf>
    <xf numFmtId="0" fontId="11" fillId="0" borderId="0" xfId="0" applyFont="1"/>
    <xf numFmtId="10" fontId="11" fillId="0" borderId="0" xfId="0" applyNumberFormat="1" applyFont="1"/>
    <xf numFmtId="0" fontId="11" fillId="0" borderId="0" xfId="0" pivotButton="1" applyFont="1"/>
    <xf numFmtId="164" fontId="11" fillId="0" borderId="0" xfId="0" applyNumberFormat="1" applyFont="1"/>
    <xf numFmtId="0" fontId="11" fillId="2" borderId="0" xfId="0" applyFont="1" applyFill="1"/>
    <xf numFmtId="0" fontId="11" fillId="4" borderId="0" xfId="0" applyFont="1" applyFill="1"/>
    <xf numFmtId="0" fontId="4" fillId="2" borderId="4"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164" fontId="3" fillId="2" borderId="1" xfId="0" applyNumberFormat="1" applyFont="1" applyFill="1" applyBorder="1" applyAlignment="1">
      <alignment horizontal="center"/>
    </xf>
    <xf numFmtId="0" fontId="6" fillId="3" borderId="0" xfId="0" applyFont="1" applyFill="1" applyAlignment="1">
      <alignment horizontal="center"/>
    </xf>
    <xf numFmtId="0" fontId="5" fillId="3" borderId="0" xfId="2" applyFill="1" applyAlignment="1">
      <alignment horizontal="center" vertical="center"/>
    </xf>
    <xf numFmtId="0" fontId="4" fillId="2" borderId="1" xfId="0" applyFont="1" applyFill="1" applyBorder="1" applyAlignment="1">
      <alignment horizontal="center" vertical="center"/>
    </xf>
    <xf numFmtId="164" fontId="3" fillId="2" borderId="5" xfId="0" applyNumberFormat="1" applyFont="1" applyFill="1" applyBorder="1" applyAlignment="1">
      <alignment horizontal="center"/>
    </xf>
    <xf numFmtId="164" fontId="3" fillId="2" borderId="6" xfId="0" applyNumberFormat="1" applyFont="1" applyFill="1" applyBorder="1" applyAlignment="1">
      <alignment horizontal="center"/>
    </xf>
    <xf numFmtId="164" fontId="3" fillId="2" borderId="7" xfId="0" applyNumberFormat="1" applyFont="1" applyFill="1" applyBorder="1" applyAlignment="1">
      <alignment horizontal="center"/>
    </xf>
    <xf numFmtId="0" fontId="4" fillId="2" borderId="10" xfId="0" applyFont="1" applyFill="1" applyBorder="1" applyAlignment="1">
      <alignment horizontal="center"/>
    </xf>
    <xf numFmtId="0" fontId="4" fillId="2" borderId="8" xfId="0" applyFont="1" applyFill="1" applyBorder="1" applyAlignment="1">
      <alignment horizontal="center"/>
    </xf>
    <xf numFmtId="0" fontId="3" fillId="2" borderId="11" xfId="0" applyFont="1" applyFill="1" applyBorder="1" applyAlignment="1">
      <alignment horizontal="center"/>
    </xf>
    <xf numFmtId="0" fontId="3" fillId="2" borderId="6" xfId="0" applyFont="1" applyFill="1" applyBorder="1" applyAlignment="1">
      <alignment horizontal="center"/>
    </xf>
    <xf numFmtId="0" fontId="3" fillId="2" borderId="9" xfId="0" applyFont="1" applyFill="1" applyBorder="1" applyAlignment="1">
      <alignment horizontal="center"/>
    </xf>
    <xf numFmtId="164" fontId="3" fillId="2" borderId="5" xfId="1" applyNumberFormat="1" applyFont="1" applyFill="1" applyBorder="1" applyAlignment="1">
      <alignment horizontal="center"/>
    </xf>
    <xf numFmtId="164" fontId="3" fillId="2" borderId="6" xfId="1" applyNumberFormat="1" applyFont="1" applyFill="1" applyBorder="1" applyAlignment="1">
      <alignment horizontal="center"/>
    </xf>
    <xf numFmtId="164" fontId="3" fillId="2" borderId="7" xfId="1" applyNumberFormat="1" applyFont="1" applyFill="1" applyBorder="1" applyAlignment="1">
      <alignment horizontal="center"/>
    </xf>
    <xf numFmtId="0" fontId="8" fillId="0" borderId="0" xfId="0" applyFont="1" applyAlignment="1">
      <alignment horizontal="center"/>
    </xf>
    <xf numFmtId="0" fontId="9" fillId="0" borderId="0" xfId="0" applyFont="1" applyAlignment="1">
      <alignment horizontal="center"/>
    </xf>
    <xf numFmtId="164" fontId="3" fillId="2" borderId="13" xfId="0" applyNumberFormat="1" applyFont="1" applyFill="1" applyBorder="1" applyAlignment="1">
      <alignment horizontal="center" vertical="center" wrapText="1"/>
    </xf>
    <xf numFmtId="164" fontId="3" fillId="2" borderId="14" xfId="0" applyNumberFormat="1" applyFont="1" applyFill="1" applyBorder="1" applyAlignment="1">
      <alignment horizontal="center" vertical="center" wrapText="1"/>
    </xf>
    <xf numFmtId="164" fontId="3" fillId="2" borderId="15" xfId="0" applyNumberFormat="1" applyFont="1" applyFill="1" applyBorder="1" applyAlignment="1">
      <alignment horizontal="center" vertical="center" wrapText="1"/>
    </xf>
    <xf numFmtId="164" fontId="3" fillId="2" borderId="16" xfId="0" applyNumberFormat="1" applyFont="1" applyFill="1" applyBorder="1" applyAlignment="1">
      <alignment horizontal="center" vertical="center" wrapText="1"/>
    </xf>
    <xf numFmtId="164" fontId="3" fillId="2" borderId="0" xfId="0" applyNumberFormat="1" applyFont="1" applyFill="1" applyBorder="1" applyAlignment="1">
      <alignment horizontal="center" vertical="center" wrapText="1"/>
    </xf>
    <xf numFmtId="164" fontId="3" fillId="2" borderId="17" xfId="0" applyNumberFormat="1" applyFont="1" applyFill="1" applyBorder="1" applyAlignment="1">
      <alignment horizontal="center" vertical="center" wrapText="1"/>
    </xf>
    <xf numFmtId="164" fontId="3" fillId="2" borderId="18" xfId="0" applyNumberFormat="1" applyFont="1" applyFill="1" applyBorder="1" applyAlignment="1">
      <alignment horizontal="center" vertical="center" wrapText="1"/>
    </xf>
    <xf numFmtId="164" fontId="3" fillId="2" borderId="19" xfId="0" applyNumberFormat="1" applyFont="1" applyFill="1" applyBorder="1" applyAlignment="1">
      <alignment horizontal="center" vertical="center" wrapText="1"/>
    </xf>
    <xf numFmtId="164" fontId="3" fillId="2" borderId="20" xfId="0" applyNumberFormat="1" applyFont="1" applyFill="1" applyBorder="1" applyAlignment="1">
      <alignment horizontal="center" vertical="center" wrapText="1"/>
    </xf>
    <xf numFmtId="0" fontId="4" fillId="2" borderId="13" xfId="0" applyFont="1" applyFill="1" applyBorder="1" applyAlignment="1">
      <alignment horizontal="center"/>
    </xf>
    <xf numFmtId="0" fontId="4" fillId="2" borderId="14" xfId="0" applyFont="1" applyFill="1" applyBorder="1" applyAlignment="1">
      <alignment horizontal="center"/>
    </xf>
    <xf numFmtId="0" fontId="4" fillId="2" borderId="15" xfId="0" applyFont="1" applyFill="1" applyBorder="1" applyAlignment="1">
      <alignment horizontal="center"/>
    </xf>
    <xf numFmtId="164" fontId="3" fillId="2" borderId="21" xfId="0" applyNumberFormat="1" applyFont="1" applyFill="1" applyBorder="1" applyAlignment="1">
      <alignment horizontal="center" vertical="center" wrapText="1"/>
    </xf>
    <xf numFmtId="164" fontId="3" fillId="2" borderId="22" xfId="0" applyNumberFormat="1" applyFont="1" applyFill="1" applyBorder="1" applyAlignment="1">
      <alignment horizontal="center" vertical="center" wrapText="1"/>
    </xf>
    <xf numFmtId="164" fontId="3" fillId="2" borderId="23" xfId="0" applyNumberFormat="1" applyFont="1" applyFill="1" applyBorder="1" applyAlignment="1">
      <alignment horizontal="center" vertical="center" wrapText="1"/>
    </xf>
    <xf numFmtId="164" fontId="3" fillId="2" borderId="24" xfId="0" applyNumberFormat="1" applyFont="1" applyFill="1" applyBorder="1" applyAlignment="1">
      <alignment horizontal="center" vertical="center" wrapText="1"/>
    </xf>
    <xf numFmtId="164" fontId="3" fillId="2" borderId="25" xfId="0" applyNumberFormat="1" applyFont="1" applyFill="1" applyBorder="1" applyAlignment="1">
      <alignment horizontal="center" vertical="center" wrapText="1"/>
    </xf>
    <xf numFmtId="164" fontId="3" fillId="2" borderId="26" xfId="0" applyNumberFormat="1" applyFont="1" applyFill="1" applyBorder="1" applyAlignment="1">
      <alignment horizontal="center" vertical="center" wrapText="1"/>
    </xf>
    <xf numFmtId="164" fontId="3" fillId="2" borderId="27" xfId="0" applyNumberFormat="1" applyFont="1" applyFill="1" applyBorder="1" applyAlignment="1">
      <alignment horizontal="center" vertical="center" wrapText="1"/>
    </xf>
    <xf numFmtId="164" fontId="3" fillId="2" borderId="28" xfId="0" applyNumberFormat="1" applyFont="1" applyFill="1" applyBorder="1" applyAlignment="1">
      <alignment horizontal="center" vertical="center" wrapText="1"/>
    </xf>
    <xf numFmtId="0" fontId="12" fillId="0" borderId="0" xfId="0" applyFont="1"/>
    <xf numFmtId="0" fontId="12" fillId="0" borderId="12" xfId="0" applyFont="1" applyBorder="1"/>
    <xf numFmtId="0" fontId="11" fillId="0" borderId="0" xfId="0" applyNumberFormat="1" applyFont="1"/>
  </cellXfs>
  <cellStyles count="3">
    <cellStyle name="Currency [0]" xfId="1" builtinId="7"/>
    <cellStyle name="Hyperlink" xfId="2" builtinId="8"/>
    <cellStyle name="Normal" xfId="0" builtinId="0"/>
  </cellStyles>
  <dxfs count="128">
    <dxf>
      <font>
        <b val="0"/>
        <i val="0"/>
        <strike val="0"/>
        <condense val="0"/>
        <extend val="0"/>
        <outline val="0"/>
        <shadow val="0"/>
        <u val="none"/>
        <vertAlign val="baseline"/>
        <sz val="11"/>
        <color theme="1" tint="0.14999847407452621"/>
        <name val="Calibri"/>
        <family val="2"/>
        <scheme val="minor"/>
      </font>
      <numFmt numFmtId="0" formatCode="General"/>
    </dxf>
    <dxf>
      <font>
        <b/>
        <i val="0"/>
        <strike val="0"/>
        <condense val="0"/>
        <extend val="0"/>
        <outline val="0"/>
        <shadow val="0"/>
        <u val="none"/>
        <vertAlign val="baseline"/>
        <sz val="11"/>
        <color theme="1" tint="0.14999847407452621"/>
        <name val="Calibri"/>
        <family val="2"/>
        <scheme val="minor"/>
      </font>
    </dxf>
    <dxf>
      <fill>
        <patternFill>
          <bgColor rgb="FFC00000"/>
        </patternFill>
      </fill>
    </dxf>
    <dxf>
      <fill>
        <patternFill>
          <bgColor theme="9"/>
        </patternFill>
      </fill>
    </dxf>
    <dxf>
      <font>
        <sz val="14"/>
      </font>
    </dxf>
    <dxf>
      <font>
        <sz val="14"/>
      </font>
    </dxf>
    <dxf>
      <font>
        <sz val="14"/>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sz val="14"/>
      </font>
    </dxf>
    <dxf>
      <font>
        <sz val="14"/>
      </font>
    </dxf>
    <dxf>
      <font>
        <sz val="14"/>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strike val="0"/>
        <outline val="0"/>
        <shadow val="0"/>
        <u val="none"/>
        <vertAlign val="baseline"/>
        <sz val="11"/>
        <color theme="1" tint="0.14999847407452621"/>
        <name val="Calibri"/>
        <family val="2"/>
        <scheme val="minor"/>
      </font>
      <fill>
        <patternFill patternType="solid">
          <fgColor indexed="64"/>
          <bgColor theme="0"/>
        </patternFill>
      </fill>
    </dxf>
    <dxf>
      <font>
        <strike val="0"/>
        <outline val="0"/>
        <shadow val="0"/>
        <u val="none"/>
        <vertAlign val="baseline"/>
        <sz val="11"/>
        <color theme="1" tint="0.14999847407452621"/>
        <name val="Calibri"/>
        <family val="2"/>
        <scheme val="minor"/>
      </font>
      <fill>
        <patternFill patternType="solid">
          <fgColor indexed="64"/>
          <bgColor theme="0"/>
        </patternFill>
      </fill>
    </dxf>
    <dxf>
      <font>
        <strike val="0"/>
        <outline val="0"/>
        <shadow val="0"/>
        <u val="none"/>
        <vertAlign val="baseline"/>
        <sz val="11"/>
        <color theme="1" tint="0.14999847407452621"/>
        <name val="Calibri"/>
        <family val="2"/>
        <scheme val="minor"/>
      </font>
      <fill>
        <patternFill patternType="solid">
          <fgColor indexed="64"/>
          <bgColor theme="4" tint="0.79998168889431442"/>
        </patternFill>
      </fill>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numFmt numFmtId="164" formatCode="_-[$$-409]* #,##0.00_ ;_-[$$-409]* \-#,##0.00\ ;_-[$$-409]* &quot;-&quot;??_ ;_-@_ "/>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sz val="14"/>
      </font>
    </dxf>
    <dxf>
      <font>
        <sz val="14"/>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sz val="14"/>
      </font>
    </dxf>
    <dxf>
      <font>
        <sz val="14"/>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sz val="14"/>
      </font>
    </dxf>
    <dxf>
      <font>
        <sz val="14"/>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sz val="14"/>
      </font>
    </dxf>
    <dxf>
      <font>
        <sz val="14"/>
      </font>
    </dxf>
    <dxf>
      <font>
        <sz val="14"/>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numFmt numFmtId="164" formatCode="_-[$$-409]* #,##0.00_ ;_-[$$-409]* \-#,##0.00\ ;_-[$$-409]* &quot;-&quot;??_ ;_-@_ "/>
    </dxf>
    <dxf>
      <numFmt numFmtId="165" formatCode="&quot;Rp&quot;#,##0"/>
    </dxf>
  </dxfs>
  <tableStyles count="0" defaultTableStyle="TableStyleMedium2" defaultPivotStyle="PivotStyleLight16"/>
  <colors>
    <mruColors>
      <color rgb="FFFF80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10"/>
              <c:pt idx="0">
                <c:v>Miami</c:v>
              </c:pt>
              <c:pt idx="1">
                <c:v>Houston</c:v>
              </c:pt>
              <c:pt idx="2">
                <c:v>Los Angeles</c:v>
              </c:pt>
              <c:pt idx="3">
                <c:v>Denver</c:v>
              </c:pt>
              <c:pt idx="4">
                <c:v>Seattle</c:v>
              </c:pt>
              <c:pt idx="5">
                <c:v>Dallas</c:v>
              </c:pt>
              <c:pt idx="6">
                <c:v>Boston</c:v>
              </c:pt>
              <c:pt idx="7">
                <c:v>Chicago</c:v>
              </c:pt>
              <c:pt idx="8">
                <c:v>San Francisco</c:v>
              </c:pt>
              <c:pt idx="9">
                <c:v>New York</c:v>
              </c:pt>
            </c:strLit>
          </c:cat>
          <c:val>
            <c:numLit>
              <c:formatCode>General</c:formatCode>
              <c:ptCount val="10"/>
              <c:pt idx="0">
                <c:v>11680</c:v>
              </c:pt>
              <c:pt idx="1">
                <c:v>11570</c:v>
              </c:pt>
              <c:pt idx="2">
                <c:v>11370</c:v>
              </c:pt>
              <c:pt idx="3">
                <c:v>10370</c:v>
              </c:pt>
              <c:pt idx="4">
                <c:v>9425</c:v>
              </c:pt>
              <c:pt idx="5">
                <c:v>7720</c:v>
              </c:pt>
              <c:pt idx="6">
                <c:v>7475</c:v>
              </c:pt>
              <c:pt idx="7">
                <c:v>7320</c:v>
              </c:pt>
              <c:pt idx="8">
                <c:v>6110</c:v>
              </c:pt>
              <c:pt idx="9">
                <c:v>5490</c:v>
              </c:pt>
            </c:numLit>
          </c:val>
          <c:extLst>
            <c:ext xmlns:c16="http://schemas.microsoft.com/office/drawing/2014/chart" uri="{C3380CC4-5D6E-409C-BE32-E72D297353CC}">
              <c16:uniqueId val="{00000000-8FD1-4F9E-BB28-0CA1C7256E7E}"/>
            </c:ext>
          </c:extLst>
        </c:ser>
        <c:dLbls>
          <c:showLegendKey val="0"/>
          <c:showVal val="0"/>
          <c:showCatName val="0"/>
          <c:showSerName val="0"/>
          <c:showPercent val="0"/>
          <c:showBubbleSize val="0"/>
        </c:dLbls>
        <c:gapWidth val="150"/>
        <c:axId val="637943920"/>
        <c:axId val="637944400"/>
      </c:barChart>
      <c:catAx>
        <c:axId val="63794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637944400"/>
        <c:crosses val="autoZero"/>
        <c:auto val="1"/>
        <c:lblAlgn val="ctr"/>
        <c:lblOffset val="100"/>
        <c:noMultiLvlLbl val="0"/>
      </c:catAx>
      <c:valAx>
        <c:axId val="637944400"/>
        <c:scaling>
          <c:orientation val="minMax"/>
        </c:scaling>
        <c:delete val="0"/>
        <c:axPos val="l"/>
        <c:numFmt formatCode="[$$-409]#,##0" sourceLinked="0"/>
        <c:majorTickMark val="in"/>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6379439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accent1">
                      <a:lumMod val="5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v>Series1</c:v>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7A30-4847-A7D1-4EDD3A21C075}"/>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7A30-4847-A7D1-4EDD3A21C075}"/>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7A30-4847-A7D1-4EDD3A21C075}"/>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7A30-4847-A7D1-4EDD3A21C075}"/>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7A30-4847-A7D1-4EDD3A21C075}"/>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accent1">
                        <a:lumMod val="50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PayPal</c:v>
              </c:pt>
              <c:pt idx="1">
                <c:v>Amazon Pay</c:v>
              </c:pt>
              <c:pt idx="2">
                <c:v>Credit Card</c:v>
              </c:pt>
              <c:pt idx="3">
                <c:v>Debit Card</c:v>
              </c:pt>
              <c:pt idx="4">
                <c:v>Gift Card</c:v>
              </c:pt>
            </c:strLit>
          </c:cat>
          <c:val>
            <c:numLit>
              <c:formatCode>General</c:formatCode>
              <c:ptCount val="5"/>
              <c:pt idx="0">
                <c:v>35170</c:v>
              </c:pt>
              <c:pt idx="1">
                <c:v>17815</c:v>
              </c:pt>
              <c:pt idx="2">
                <c:v>16015</c:v>
              </c:pt>
              <c:pt idx="3">
                <c:v>11540</c:v>
              </c:pt>
              <c:pt idx="4">
                <c:v>7990</c:v>
              </c:pt>
            </c:numLit>
          </c:val>
          <c:extLst>
            <c:ext xmlns:c16="http://schemas.microsoft.com/office/drawing/2014/chart" uri="{C3380CC4-5D6E-409C-BE32-E72D297353CC}">
              <c16:uniqueId val="{0000000A-7A30-4847-A7D1-4EDD3A21C075}"/>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DA3C485A-A126-4384-A3F1-5D3BFC5109CC}">
          <cx:tx>
            <cx:txData>
              <cx:f>_xlchart.v5.2</cx:f>
              <cx:v>Value</cx:v>
            </cx:txData>
          </cx:tx>
          <cx:dataId val="0"/>
          <cx:layoutPr>
            <cx:geography cultureLanguage="en-US" cultureRegion="ID" attribution="Powered by Bing">
              <cx:geoCache provider="{E9337A44-BEBE-4D9F-B70C-5C5E7DAFC167}">
                <cx:binary>1Htpc9XGtvZfofh8RdTqQd2nTk7VK+3JNrYBg0n4ojLGaGqppVZr/PX3kW0SvMmB5FblrQqVsLGG
3d1rfNazlv99O/3rVt/d2GdTpevuX7fTz88z55p//fRTd5vdVTfdiyq/taYzn92LW1P9ZD5/zm/v
fvpkb8a8Tn8KfMJ+us1urLubnv/n3/i29M68NLc3Ljf16/7Ozm/uul677jv3/vDWs5tPVV5v8s7Z
/NaRn5/HNzr/bGyd3/zPs3d17u4+PbtyN+6ue/7srna5m9/Ozd3Pz5+89vzZT8df/s1Gnmns1fWf
8C4NXwScCaGI8u//kOfPtKnTx9seIeqFIGEQEkbU/Z8va1/cVHj/9y1+uf5He7rf0c2nT/au63DK
+8+n7z45A279v+fPbk1fu1WYKeT68/MjAeSdiR8eiM16kHdX9yf/6ak6/vPvowuQxdGVrzR2LLgf
3fpGYRd347NfjS3/NnWx4IWiKmCUBg/qok/VFfIXAne4IOxBW+KLWh7U9WWDX67+eWX9/uaRqi5+
/Ueq6vym625us767c677O/UF56EhC+kfuldIXgif+5TK8ItKHhT1ZHtfbv15bR29fqSy83+md8VG
G3vzyfxt2qLyhVKSc589etdxMPT5C85CSQXc7iECP0bBx519ufrnFfXlTM+fxhJEwMt/pFvtoKL8
09+XrwL5givOCXv0J/9IRTJ4wWRIWSAfHzjS1OP+/rqifnvxyJd2L/+RejrROq9N/jdGPv8FCRiB
rzxmIvU0U0n1gjApKJf8IVPh/tcu9WWDX67+eZf6/c0jVZ38M1X19m66+fv0RMkLJqhkkpA/zFBK
vaBAGyoMgwc9yS8aeQh997v7cunPK+nxtSMNvf3lH+lM72+6DJWBM/XflppY+IIRQnkowwc1AC88
wemB/4JzwaTPHvSIuPi1O/2+xS/X/7yuvn73SGHv/xlI4vulxIOcHuTx5Mm/WkupF4ByPGQ0/ENw
Dlfy14BI1WNIZF908eBKRxXOf9/WH5dTR68/Ocn/p/Lpv5dWv9Wgmxt3s70vXr+qrr5/90tZdvTq
o33/kR0/3jr59PPzwOcMGOC3onj9kieecQSVH6T+1Zt3N537+bkn1AsVSEFIyDkNia+gvPHu/lZI
oXdkMh5IeCDjFL5XG+uyn5+jXpMrHJF4zWdSBoienenvb5EXAZVK+SueVIT54jcy4ZXRc2rq36Ty
+POzuq9embx23c/P+fNnzcNT61Y5vpqEvgopJ/g3dhfg/u3NG0QlPEz+R9FZeGXjNQeZ68+ZSdXe
kyaJcumP0VfS+ZMrAR4DgIWCBoQeraRrVrNlIlgpWMao8psPTW2maEyyPv7rK2ENRX0WBozJ9cxf
nSl1XrLYpmwObiz7OOn9y26oiki0y/VfXkhSGTCfYzkfaz1daAg1UcYuzWHuys+lLj8nXv65wOf/
ZRkuGQmh8W905ES2dBmfmkPijWqrZNtGXSZ0XE75/0F0sFUFKKyQMggBDfBEdI1fMZPhRENS2ZeT
35dRYgL50tbFDw61ftOR4UkRBCqAngjyz5HswqGSnlNjc8jGsYxEP7+Z0+maePN1Mwxy830Jwlu+
XYwKIUIZCKX40bE8wg180zQH1XZyE3aVPRSyTSLj5Te+TKs4Z5ZGZE7cXzdFKRjlFDhoZcuOjF5Y
0wc6q5tD0+bmqrctjbjyymuvwL++f8ZVYN8IlIcoYATSCLz6qeqWvujn3FTNwetbe6j6Zt4WgZ9c
fX+VP4gXUny1CkLW1wYipWKD12usoiZ+FtjpeqjG+rS2/zfRfbXSkejGssrMUGOlTPfzRkzFzWI8
Hf/YvcgqmSeSUz7hgQD+EQJFolyt5+t40Y9JwbyuPDhRpBH3OhO5qUjjkbJf2jz0Dh5thkgWWbDj
VvE4te70B1L1v5WrApaWMM5QsSAIjyzUJBWXlWmqQzMEZtP4g1dGc+OmVwur5q1KfLMhypJdiyL3
4NvJbApN1Za2rD4dWi5EPJpw2sop7WNr6vE2zPIqDouEnqjQJ7s+LD/PktGTdCHDeRN2SWSbpRNR
oEwbmQaPzFlSbf1yDOIeSesQTm31erYqeF+GgTnhSZF8GKph3ozVxA9JuJSRmWu1Hwu4VBlOIo27
ufeqqKwnuRnalJ04l9XbvtT11gVhfeW8gp36ahlv2wSJhjiBvQuCVQpmzkbZDUWchTIz25lp/2NR
Zl6cd9iPFyh2UyU4dDm4ZmdU2lymwWI2jjMu4oEmSRGRXqspaqlTe5HYZtf6ybQt2l5uPNt4ceXj
dEuF2FkVoYtDVwdxEiK+ZWleb4VAFqrDiexc1hgXD4rQU1YN+b6wizkjvjMbWbX5XqrKi0PtB+/T
bOBnU0qKD6k0+lqMZb5vO9r82ooqeJ/g7E0UjqT5talYv2BPQ6KjLGyUiymdEW4mwbw88pjV190o
+Zn0uuq15+XuQwLRnGVF21yKvvjsE+i0L0TwvpL556kbkysnFnMyrtE56zpzNuvAlDur/RLmq5TO
XhW5mN4UU85OkFRcnAxVvh9STSMgkTyLdNDXp3lKJY1Yn+YXKW3UZSHS+rPwFLkgpoAQe83rTeCN
Ukb3nqe7lJ0ufiJfZgIiK3MIIemzIl5YNsdV26Rv5RLgSGmYlx/UMiHLt6PZJDwrqo12g1lis1ih
93kd+M056YdGbUSWDL9kSeOpbUCGTsa1KfMlEn5tX3omX95Lr+Zvp7qsPgdhZk5xxhk4EcHb92V7
YAVR1wbO/ZbWBvbDrc/z2DI+lJHKssHs+qlSL+3U0EipACpwyVTyaAqa1EReWnqxXwh13bUWbsf8
xYsHhiy7zEruHfy+j7gem+za1V467HtZFzdqDLydquFHIjQkjXI16H03JNOb0arhl8Uu5Z43vdO7
0bNBvisaypftUsiyjWyXjn0kppJ8XFTTfQoW+Bbzkpls9Mi7d0Poml/TgvGzcNYI45PBZm3v0VPh
s3zesDH3YlJCEzxLyw9tGtSnU5LWWzt1QVza4nMgM/UyIYKeYiNkR9Jq3nhz146brBLZRVqqadun
Wu0LDxrqKbJvTxFYM2nlhmcquSoG25ebrJmyu7pR/FCXYohmkYnlJSP9L003D3tamcpGqochLKOs
T0eWf+6SvI1az/lxR/Re2fTO9TbcZN10VbfBwZnhY5/N+WlVi2DbJ404QzYOX2c9nJLU2JZP9HA+
OKu2aQk/Z9IlUdCE5XtJmuXMV9OuWkIdp8vUuLgay66MyrzII+o0jBpRcXqV6Wbe1H2hLilw7a71
4PVlr+fNMDRJRLti3i4W0a0a3bAna+pvGM4dVMVN3nnyUo4Fv9FTJ1/TwZELk47kbcESejr1sKgS
AfVDrxId+3o2m6HG8Xm3wI0q2apLV/fjbedZbaO0Q8zJWClfE2HbiPn6hnMESmsRP0Tmha+XfCqj
wNp5k4RtnUSc9vJ1Ykr7kow9Itk92OuVbffar/pNMRcIYkFvNmLE0tYYe8g76eKAkPE24/VJU+s6
SlXnw4L9YGtzfUkbZ3bZSCWUUDWXXbtCexOYM00aGNPYZn0eVYTFZQjp5IkaN5XoyfY+6o5Z/qsr
JbnzR0SrYbUR7i/kokxcflHwKd0Nc1YgxgHMRJ7n+EWR8l3HiiUejA1iThdERGemeFiEeZdPkNAS
JvVm8kMbI+GOcQ8NF5H2rT2kyAZvhyZNYinq+jRZ+up11yP2eCmix6jg9OVQQebK9Dta8DZK6yG/
oEngf1Skd2eDxwGJTX8py04fOuEP+yIzal+p1DtH5/SS5nT4xSuK7nKeMneeFMv73Kfje1nOciNn
k+/ZQvhhUfmyrbO2umw8m7zS5a9ha6tNTrPPJk3SmLn8Hfz52g5+egik8bZZWrWx82lzyeYu0EiL
6R7B/aPHTR8FIZJeqZANvTzT122NyGtrRBy/kuRt7pPGxAtU2jwEWcG6ZrdABzuUf2NUiimMkbfr
eJj11B8qNGXtvs5UFJCsGSPXqaKOZq0RzArUmS1MpFBVTFK/PKnH1leRbMI8qktb2c08tIuNdEPz
KqJp6/yIJ2NbRU0VvOuqoDodW1qdmtD5TWxk355S3fWbnlRzoDdJO5lQnM1jMFULko+2iH9VOCZv
2mDMx41fFpm3Z/lQZadjoegwRUGVDPKUDb2po0T0NKQxygHbi2hRNvzczUUmIzmU1V3DRRqRPA1P
Jhk2JB5nZTugG+5v225CXJ9lWM557Kxzr2oRppEtWK/6uJNpsXVNZtlmoT0ZKsSe7oMs/dLFZtJX
Y0EnHTVEpEAIc8LyqAnn4bTWRbnJG/8jk/2hKYoi8mZaRYx72S4Q8C8EjuE154V3TmjtFRsXVhNy
dTDv4acBjUzRzVGvpTsEbe+2U5vclBkvt+EYlNvAN3Jjwpb8UrlguuiRo0k0pdbf1CzovVhpulzA
XdPbVIekj0rSeZEOJwV063kn+cR9uQvTCvGNCYRvlgKdoGBjYzQypfmmwYEPZT9WVSxnPuy/j0bp
N2B0BcQkoFyEoQ/q4giMNlNuPMn68pBVFTvth676bGgLCY5u7PwqShmgldYaYssK4i4GAWRByqy5
bAhgVW6rGySu+lQGrdzMAUqdLm/qKtZzz89YkKuXtS3sy1J0auuGNm8i1yf8kCbwQTqhUtqysEqu
KPPZDfoEyxAp/LWXHglfzwmosiiZJ33t53nx4T4G1rWvZDwuZZD9oKoia5lxVBz4oGJ8X3EaUEwz
PC0OumVJWd/5+tACTGxEMA7nLu39MJIWmMkBZl/M1MuyKFiAsUplzRmCHz9ztErziKgf1c3ga7/d
DwgbEoIwAvdwXDenQYp4gP3Yilz3/nxmS+SXMcxvat2/SWak/O9bw6rsIwEQH5U6wyAHOGT/qDrq
2MCrdGz0YWgBSOukT5CsAU3qOjNnHpvNyffXI39kfX7IlZS+QgtBHhWytQXYY6LUCK7t6EWImAaz
L/XQbAoYlvOM2pYdbE1wOb66T8GjWYjYZ8FIdhnRXpyUmt+YpR32UweM8/39fVNnY5BCyIDDRwIK
uRzJw81iFE1O8oNCvb3nXmrOGjb+yAe/YSywCoiKQGAGIAjDYxfs835IBBpxB8GAXEWKqFE3wsVt
oADyRWloNBdA7lkJxPn9Awbf1sPAB2vLgCi0DthxLTqTkg1Wj9mBdWOaHDQz6qWXJOpD1QOXdmbk
86XyuLqu2Xxdqrn97DV83Lp54GmMZkeWr8HOuqjVvaTb1DXAcqy0B4Bf9bIAgfmpTUjiTrykQ9V4
v/tHhvjVg2U+MJy3ppltnmaPE1O//fift6bCf/cDO79fXAeufv/p/Muk1nef2t+ZlWLvjh9ad/Pb
d2Ezj7tbOeInP3xDWP8XSvph8Ou/3HzCVz9h57+0Ae5Z5zUS/He2+ojk/4qtXt/7wlWLF4gsFPzO
b9TyI1eNYZQXyAjwfgW+momVI3mkqjGKQjHcgPZEIEkAZ37kqQmGImjAMf1FMAWmMAr2V3hqSp+E
oXVFEvhKgDcOhULgO3I7TQpbk7HkdxKW06NYbFgDROo3Q75cc9435Q3zLO92dTt3M9sg8fJsij2T
+B/T2rLai00wleGpyvjcb0rl1e1hVJXuzjWvGm+OTDnx5iMvXQGiwRNCFzROQeuRu3Ayc/9GZ1Oo
b6TkTXJLK9qKi1TkLbyzIigddMwabqvLDFzBWG9SzW3ZRPCVqnpJwrnFltOqIvNZUFGQqV43rGzW
Vyp9NP2vyfynuYHdc8MM7CZT62Be4B/nBlLlfSYyeZeMpi7ag6uYZvDfobPhYelSl4/xkjcYHtR+
kgfJDzLFUa7E+mEIDIcpM4kQ+W0zYSmoBO4W+aeClLQEWjNgRrO17vbaYmenEczZxmYuZRmwlLc0
9auRUWDmmDBgYHoKqrsG6DGmpZZcgKprce/7MnqazliImSm0VWBC66jbapZP8/mU5V6QWep9Eh4Q
fLBJlzAN252WzFE/qq0T4kPJfUSn7697pJt1XabQjwi4HyhJj9dt+tmExqPyUzrD5kQ0+I3ufslY
EtRpNBZ5nyO3YtzURVlmgkD8IGthKuKrLL4eO0R/h0kwZVx+yy+mfMg9f8roJy/UYUtjPvqC38CR
PHdiljzUF7lHDDmnZTv3V2Xn+0uGLkOuIZTvC+LbnchQCobs7CsfLc2j9J6FWaKL2befmBjhcruZ
iIWUYFbHvmPbXCZMfLA9RIAuB/Cp+GD8eQAlMOTGb8YfaOUp1oBYkGHRIOLgtJHKgfCeWoMTuV/M
ZZ3cJmqpud2btqmSeQvWoFPzfpZ2gol8//zkKJJhTYUuWLA6Kvp43+CbVC0FV43zPma5DSvvMLls
dQgg5gyzq/1YsIXFedXNQRNN6J9AEDz3s/6qakQxx7VHbH2lqqyy9ablAJtvwFPW3cfvb/MpAGEh
Mr/PALA5OpAE3nIUS8CJS+u3y/Rxss7CCEA2+tCPP42Ue9Fk6eBdNUHZrk7jRrN+5E3a/0A/3wgL
xQcaJ9QXoMcpyNyjbcg26NzcCfOx1txDDC8QvdA+HGbfzfyMJhxxv0t7W95UBa8RUW1TWVTx0is8
EDZthmi7Rv45w1t1vujhjE1lY6ofhBVybNYYeEbjJVg7TNCwEEf5aaIjuLJ6oR+7JBBetS1c1+j+
Vbs4lD7x2M4tNueF1YB7Zm4rM29kucze1dg0yUmnrEbHoVoWIPoqa2swX7XyBboqPfc9/UaAxliq
tXxeeb7AK2ZSn/qL0vjWMkcV3/7ATcla2PyO+xGpBJFKKOFjemRti6yB9KuuCCyzbgeg7g8hN7zg
ceNLDlNMkl4pG5Ml9BDak/kheuqe4V5/H04akkjcmkZHRbvrR/pjH2LHURy4GGCEA5+iFw7fPTKL
ciq7KskMesgWXtRuaVdKdg5OhM5ntOtniEMlg16uq2ya5zDqMwuyK0bAH8WbtF0SD/UTmKpr6/Wd
uJC5WAHCxIYKxGjZ81U9pqMKJjQPIR/eNLYol+tFixJ8qa/1mrRySB8KMrXKcBGcPpCIrKYJuqO8
mPHRLX7q5KbhHe12IuzvOdopzQEw2vvllUy9eYykmQp8hQF4wM5zr16xgWt4Vd5MnajbZqcGS4Yr
Rs3iXlpbJqBxdGWDKvbSpJoOKUNy/bWWdcKuB38gMLJQpsAZQ1sbQJTvx4bjqLlWJT6KErkWBxhb
ODINmsx1SlSjPyyk6mwKMt0Pmy4aTWH0Ce3bEYHi+yseR6MgRCwKCPI2Acz4ZsXO+l02VnT8lS79
aoxjz9bwF3RhieQt1g7Yh6SgC4xwDHrXpecoqULY6fe3scLZJ05BQyGCELmCB37AgJKfOsVCh771
lKiuK1ZXjkbO9Ny7M23WIhplZVeTrU1Ck79CJyNFxGkybtJtKl0wmEiG4aiHyAVpe6YTKa4marWc
o24kYnjjpOfnccuXyZzBiPwsKnyWgBthCSgaOHvmww7NkAFdnCRF6VbPH0ASXAbI980c0dLS6Ud1
6HFck2sBDriBU+O04D+O0nUpkgw8Yhe+G/raB4jl1gYAscOy2i0DyGKHjIwTzHYqFcVHikbPGupE
s5o07YsxSK6SSawXgzZf0HvPm4CuIbJdOvQdWz00Xb5f+FzC65IRnaS1Fy8reGdIWrjRD5R4FNkk
EJBE2kRUgwYxvngUqltaV4sp6uCddBmFb7kmXTfgPNqvrnvvx5hkmbG3JJtWF0esXEOKbVokGi8j
gPFk4usl06ILcaNVEbJDPupVDu08GnEBuhRP5Rldjzinleh2pRdaumukHWgXz8gXOO4PjnaEMnE0
NCZZQOAqmF8C3ntqnw59pVD3Zn5H02GNVM62MK1FL7m5db4sA5DFzmAQJgzqNT9WniFQyCQqjbba
Ugni0p2iXj++A0q1EMcYFhTWR4cF0aTO0fYf9mzUzRrdeoTNQx40I4KhAyLBgrlLfPyEGotAFFXK
IAoHlsxzMdd9AZfIVFDgpwf5rKGwvPm+EI58VAIuAF2FAZcoO/1vWulkXJiYReu9HaoQJOzuAd4G
mZyGMkZlmaX1j8LCUTpal8SQhx9gmgv/AzU9FbtfGKDWZgrfdj2BhbgZvzuC3sfiIB9WNMzwbTJ6
ZuoiMKUzBK6HpAZkQdCDlEY7afcqFJ1Mil3imEQwgEMObywmOZEBKg+O76YaiepRbWk71hDlpGUN
X4EXrepIy2lVhFfkBB9qLtTwxjeVwU54iZ7qdSncWqd+X9pM0acxEYdfkwCCBAE7+m1FBTjYeak/
zW+zbBY6AZdb0iZORj8pLkSwMDtv28yKRkYK80BFFlnb5u2pr3s6cfQestY7s2nlsfOkytAiQM94
Sm/9XPuHMemZwHBBbfQnVujFvqmMqPD7dgvR4yUbiD8tG1nUijdxC/zY9btx5HK4sG2GcYFIVH5F
XlLfErWpa6tIXEzoSWLwZ5LtAva6Hiyb4nQqBzjDsNhx1tHk8YIVOxWQnl0J7WaWxv5E+rHfN2rM
SAL8lqTuxGUhkFkcLnpcFpS1MMXmZCrnpI/arinEblBhSje88qbl7ShMkF/3TKfJhjIXkHhGfWpm
UHvo4WxUHoxlnHKdHvBrQW7TGn9czhJV+/6ejASTJ6nXyczfNqWp2Dtw/uhcv1PGn6a3k5uoO/c6
dKjfIGOE/SduhbDvlnBIaxM1xpCse62mRZf7JAe7sVsMw7BJpMAiBlkc2qVr5UdSFbL+lAWNGaYN
TGVu71TvxtGPSz12pDi4pG653KAO4Frsk8orxYUioVeW+0E0Qaezu0zW1EHKE6HSsvOFmgEmvRDb
NdlrKnwn/G1ds6YJT9BFRT/sZc2nsk23xZC6cXg58iTN813CqrHnb5I6oO2JKFiWyh1sRdAyaobF
R1rXncxHFaUeE63bZIldivlkTDsvy/djXiHbxKUaGQLs0OQ9/8V4veDdCYxj9BIM9gC2kIu+AepS
kZupnMSlBg2LD/dw0ctzjXtgqBmWW0zH2o9L36pgOC2EbdLgQCbPC9GcK3jZh/upLkilI47pKORF
n3s5jpNSjqRyMyWz8NHbQXOdp5fz2IxN+KpIvGLUu7CkXtCclD3mDYZLUVCeq6hVauUkQut4Vl6H
aZJ4yxljuoOkvLlFyD5H1G4zfubRxIb6JcnbnOhXRTEWMtmOBQJBujU5QbMtRshatzQPHqZWtn6K
Dny78ZuyQNu7dr7H618CTBFgvarQSr3rUwwYxhalNyQbyD5HBokJWtb4EuwfkCVqW7Viepahg4fC
ICM1FbsiG1eJUe1KfJguc95VXYVryGeDS2UYq9EZGMBSA2/snbIVnmsejpo5vkB8bRHiD3JJl2A1
nREUmTXJV/WQhmUBf0/0tMq5ZqoAl+T1noUqvLqUGbtrWxQ07c7mOZBWPEoyh22cy4yDPIfJ921/
7YoaIwuQl5ctZp/1CyPTuSzCdcs5NN0sVwKWhRUobrUfE29aDUxYb9U8nz1c06paRTMMBI8ixaJL
gT0MdYdl48fzWEtp+xGEW4ZrGN004qrkLFE0xnAJCCB0ITMCWTxaT7J0Cl8ZFt56uMTN98LoYTU2
fsS4ii98/Yl2vDynfm69q0dRew+PfxHyw3NgCoLyPAyaChsgtZcNH8scfQuL4Rs649BtsODXnKM0
oGnuX6EAT42K+IOizDI4mBoq796mJzVRc8LX/t4wi0tV9QZSGoJK45GgAcdmY9AcyaCi0p9X0JtW
PMBFHaZ++1E9SNA08CDEtYczZUGOGi1uTC1Gcph7uVbn/oNqH8xDoIcD+QiW440tD/V6+EnMGew0
JXZdJmOZwMXZtH6YvVu8nPXuFCelq3gfDGnp5x67xCHXbyG57fAeOh8U1tW5bN36g0C9ZURLGr90
Rw0Lt57P67I4WQIeTs0+XUkkfzvmvYFPqyJdmY9uhH7zIQzaj+gt1zCfDgN86+EtBoHEZQcue/3C
YFg/2JBKfOjaX92hWvi6/7oXaTa+63Wq03xXpxLfm7WUpPRQdnNI3Bl9sJW86JQL948iVxjPwXam
nJb4EmQAg8WLJi+R5wfSLsJ/B+RWyGHTYBanzmO/SxMszjENgZLJ6QbcpgZhAMoGasr6k9Ckqzv3
yK+4Vs69KOSuBFic5lOqOj2Zg2PGR7NZK6arIUq6FLQhukc9ns9c2+EDoJHri6rt8fdcjeDtuD8S
UEUtuHx9MZQuASkw2gKrkyw1w7WokwlVAFqWq+2PCqG82E20DRBhpMXUp9zqCim22k5enajuhCuk
qulXH7OgiDepNqYsD490cuF0Zotdn2nUu7cz6/Cr0GjsZxDHnt77TGukhsC6ZCyT5Zpm0ozuXUvH
bBQH93D0SaUdRESbaSlxojIdO74Vi08Q5Zxlq/jI1KxWA75qNfEH/lR25QgJkD5Yz+vyPMCHhYHj
+TYH++hFuV7AK2Pys6xVBMpiFtU5bYjFEwL9Nhj1wPsOdvVAsmAORdtk19etTYKTNGkXfAcG6lbq
be1/gzVsOUPrbZ+QEqVvVaF2qmOHnjzq0KrExDhmQzArBhI+LSWmJjZUJDNyXjcj0hQ71Hqr8Pqc
rlRB0MsSXHyh6xSv21njlL+OgGeJdzomnbX5haLFSlKaHunuPCwTKtxrBhprTrZTUnhzthNjw3W3
AXWBce8oBAkkPrCUEpTkSIYKyl889r/sfVt3nLi27i9iDwESglegqny3Y8fpJC+MOBfuIHRD4tef
jzh7nbaTE4/1fl66e63EpgBpas7vVhvuKpnG/dgYWbUvNxnJEIvv+Ul2egYSHbcEUp2LdWNjxd/1
m1mDB4lmGqjCJpYs+Yx6i/UVrGLDE+go2e+hElOA4o/xckepBogTdywgG+dVfE4y3yzhE3VDMtwk
ySJ8daTRrHTwY23DzlUHnGjxwHI1AP8OinQIufwARHLt9XtSL11dFxXzcQOFHzSi8fIts61dok+q
SgFNnGRv7JhBprqp/sNGTUTn3OB0cBj2w3BGT8nBd5vQYJWPXRYVFv9nwC20U2CmXPnrTp7f5SI6
AMQF3CR+v62f5WYY7F7/Ml/v1QTd/755WzXuf2P6id5XHWQW0POEJMDf8LXf/2IVA50YD5jcd26j
HSqBrVyjW6xuNu1DceiwUfddmY37n/xasugpUYkgN9n/6BmC38tpUBfSQbfK8zCSJL0zDa/XOV/J
BMCe+q3KovMVQjb8UB1sOxyowBPhXxRtmT5fNoL1TQn4hxvglvsn71swjZ9/XQjKahxpC5ZK8PA8
sU1tt/E+7yZh6Lv+uWD1z0DjAisLVkMwLDsIqWQiKS1HyLCgb2uWxAQPpmUC96xXsHj2oo3qvY1r
qMM1uB32j2V+brhg7nGO5BUz+yYX0U4zltPq9jXJqy3q25w1ahrHQ9MN2I3H5wcCHHgvej2Mqvi9
VIVBd9lE8cDTN4CvVwM9sBzUB6xg6A14Ev4GKzcaHALw6uihmecEn5rXtcNuWGeU2QXaYXyIwQJ4
aXLbLvtnf2O6eznb7ZdPdq4G6hcW4vqvBltp3BysigOqei6NHTBgfArMAdhJf7/UKwAdu4lAZYNr
AbLCP5N9rP8X3rxCHZtWaCX/d42Q3s1zsYiK0luegbNCRU6a/aWatsMbnqmkeGW/iuPfP8tLCIFB
OQxUKIS+JgEdjnUevfwslY0jwLdd/ZCBVUs+tyzc+3EFtWp82Ga0zm89598vCJcsgIMkzSKAi9kr
XLFvJLSvkKjfL27CQVH3OPHPue9R5n7t7L/f4GvPA+4Q2C18S2GURiHoqFcXdENH60kPyf2virE2
ULE2UPnGnrGjoyq10C3DR/XOrLHvytFMez2PJUpDoDYI5d5A5cKXKx3PHKNUmuHwgvUIZrjXsh+f
kWDlPl7uh+dNtaKvwx53pq9Q19vUtngFDTUeOzOLcTigtQia/YNAX70YiE4XTPZHNsYzI7lDafEF
Sv2Cv479UYU3rY8xTxbrM58lnsvs3x/r69eIF0dJTBgYkzAM09fKGZy7i45cYG8a1e+VafvZCAnF
JvPOB6mhcJr/R8PxB8L/T9djcLn9tI3C3vQKnOUO3UiUEnPz69hzdbN0OYGCns2Qmrf1fwWtMQLI
P4QsCxsDKQn0t3IQrxWQaNt2N8/HEprk/W3wfsC+mNSyHxh/v8G9vvxfEgr4LFRWWKi7KAVMMf73
y424+s21cmP9GZ8C2bOCjyOPPycSG+atLfj7pfDqUtBe6S644q9L3VhFozd1Up89tyKWAR3BOoqW
Ef/6+139kmL868aAFeJSGQQyP4n59DVdSAh4Gd426iS3iDTqEDG3qxEMIkbM/ENtEzj0YlY1sNUs
H6sN02KuWa3D8RKnNSQ4dTH3AsjPVUSBPZC7sWJ1PZ959AZsvqlc24fOF1UEyumTWpYRY5DsIjot
h3EwW6QLMpNEjWUqGaC2q9iFc5zcZc98Xp9gGIlvq2kMF3fdw+qSQTJjbNKGwEQ6SDXOMGjwFraO
oBN4Fb8aFB7gx5q8f24r0KFDAZonP8vY86jRw7QCyrOBSpkVGA33NmC1UYCGFjZDzAlTZPAX0GIl
ht/EatibueC5txEgR7HbiUjDrc17pcdwyycls6ktE8GHzuT/C3ksODZhCHhuZH52UGDWVjzfbUn3
Q5wvFsgSZoseTgSRzrjk2GOqsBcEbEVbF4MbFeYp4PlDNzzGaHuz+CbxOqPivEtIsIMBykrgrP55
DstWr+KlbHozAnYFAsPBMuRdo+GmLQIDHwF0s0sM9VB0ly2Z4OuhXhLKlvfMZ3ab34Nv2Bkt9IAk
Sm5mrUAivIdCOaF1CRES5ATHRi5h2BVjiKbzh8foqdILlrg1+hwy53V6A9isEu+mLOv66NBNKiCY
hOF6c7qA6xhc+mGaPd5tubpokz4nAZAJW6A1C1laeOqr9arPlFZbDjp6bTFNZ6kEL9o2RJ0gOtXr
U0LG3jdlRdFwT/nIp1F+nIC8BCZPnym3X7VoAR9eJ1fpiLrdHadmSCKYcZ/7LADfe5/oJ70fOs9L
Y/jZDU586DGyyQyKGJFbSZIx3E0zM8fHiPo+ytc+sNl7FPE5fRBTFgzHsWU1g4+rXh+Yb1lX+nat
Ti218RkE/tv5KJ09A5Ix33OZRIXLWHPDWz0QYMZWvq+wqM9ozWaVY/c1T50Uw8eatHPpshCGoXSI
9QnDLiClaIJNS5DPc4/tOK0iuUrWVpScNg3eLgnkseOOHrq5NbdbN2hyQFeuD6kn8YAVm4xfG2Ee
opCKS0mD+nK0Sh+YAgQN7Ut9ZmeTlU22pu+4aBbw+qL91qqlKodG1Lmn01SyKlsuYLMaj76awAJP
glH86tRPBe0mflzxK89TzGNP8AiaE3QP1bcl64dT78Jhy33WsWPTkflBUGDz+QCIRuVBPNePq9vS
LwPMVhjlzfh+TaP2QCJNLijJoOicgyC+ooDpjlKr6bvqePUO4GELvZKOs28hqB7MM6EI723UNe1R
+Ck4hGrU98pSAA4oBaXyzlzESvo+Z+Oawn+XVU36sbVR5s+hQDBfVQRD12E2QmPMacfG5xZJMN9T
zfhYBlUgL8YMcoSShrp752zcY04a50umdLgUFayDX0inxJXjlFyqJNxXaMV2DrW264VDO3tNeG/P
gX4HF20fN1GZovp9C9c1nvJtS8MGY7MIPq1iWb8vQeCKqA23L0p1cwRFgYB8cIMZO/fwGQ05FFPS
lGJbe3eRmHqpc9g5oAcPOQoxRqrCrvEQXyB8YxAX0i3yGAkTXbIBXgIgvR/Y6r8SU1U3NMT2scro
EtAigYPOjZaXzM8xlPB6uhENlZ+8cOjJCOjtWuWmhwaiL3hbM5EHJqZfwEzPeRwN02kGUJBHZNTv
XDj171TjdV/0WtePS+OXj/DCjVG+OOOKKpSiyzt8PjCuKTA3bDzXbAV1kFZnkWqGYtps96UbxQYj
Dhk/QJK85ELY8F0GEuFcRDItjCTVBW0n+kWlibvqgPdb0A7U4KKVzisTLJhITX2VpHD05UPYZ19k
gKamTNGfdTnr1HIHVXV/RKGHkxUGHH6mw7m5g04H2o61kY/RPImTNS48dcImX2RcPa6Ykx+3ZdzS
0yKoz7tlrL97PJBTo7kxB7SB/gFmMgarK13A2Pa1zklj7XmS9eK0oA8N4VVU2WM26ewphkXwfSer
+cludvtusMBLy+fomkJYcCI4KcrFLfoB/WWQs3WyV4FU/eeNzNMpHsIKyizAyTeNJxRnmUNFIl2b
Ag9ifXLGQcwUQk3dqWdGPkLbFePz2+giJFN87JJYfQIut9xlE4wdoR+yh3GU22WtuuXgOEouxuCx
vZko0RfS0PVuUpV8L9OUfo17uKbyaPH2hvoRmweY1m0Ya3PpJF/P29XFM3CbdDpVyUhLjMdQWAL2
yM43+JuuqqqR7zaYBh9TQCefli3V73Hg1wgbkPx6CwMNDVPSHoesYldguMO40GM2lOnmpxjrXU7H
rQ7mux4Q/F3tZrEUUIaQo1y75ZPQhtYYrrftSmbUXEKo1AMdGOf3dbxlI2r26A4x79OzEJxfYcVG
b1Nbx0DmZfAtqCJo0K48o1ubFX506HVLbgBpp1c9i2GVPBCEKg46HzJRXa2BqO+Asgw3cCVMHwYt
v+BnagC9bfhBjehgOsO7G5d1kF8yEbYX2SyizyaozFoMzUquIfUxj21k7QIzwRDTImtCfkmrWabH
jIxTdjE2qSjB49Ith89pLdNsG3nebTqz+RhX080cgO+/9MHC8awTsmp5tWQWRE/oZLieTxS+stjR
4B2fslYUiZOwOzeZkPdQ89vxAMrXN5dj289tGciJQYRYVWFw4lap7d6nkzTNaW89SJnBkDXMPZ7a
vNb9RY+ZXA5FyNG5FGw0lb0GWtKpArao+v3Kt9kXMxmSK8j1qrBcQ7SIlxqDuP7AWkx/EnVECs0S
NE41zK7VmdUJv2CRI1P3fot9FcEF6haSmYsIxY6cpxSMwGkZ/CTLxipmHjIYauESimAvlbkMqnro
i4Bm7qGNoZrJo4YO72YfBttpxaDZFYQvEblas85NRSSB41/zAeW0hEBuK2cgWxddpNsCQaP9hQ68
U93t4IMk2+BHHCfixhI4zdjvKi0RsfFWa9qluvRJlwwRAHb4rg5zCnqzMKGPxgOFSby5glGpS/Jx
AsxbbNotUx6PHsQPN11/NrWUzYcaROF13wImLeGidmdxjciyMklJwwGJdTI872tEjOTCMO7zaAX7
nehI38AV4XgxdhVVOad9DCgOmN2HEFbCbzZDaxJL4aPTPFchjBG2iQx8kolrgrkANw8p2przJrn3
AZ05GjOT+nYoUEnhesHLC1rXfkURWtLk0IhB5KxeQgc7zMhD3hxE5GbGrsPAJuYRZO5YnXVLSr/U
1n7etqZ+rBvxuc4E63KMCePDCm3HoUoreSI4PAiKRCJBf/HtcoDh70bGrTnaRmaFWMQGMztkmiIf
RzY+yGlIYGVNYIFLW4r6avX4VdfVduTzABqvdtU1GMaUFCH86ku54bChd5lq4gcOAZEsWwusB+sB
CwZekXb9hnCO/p1YJpUeFOf1lZon5GUsStcH42pbnQM1rnkejC47H+duKaNpGY79UrGHqSfhIdNw
I/UVC66j3tHLSIC0nGt4YWG9rOcyiir7ZTLcnDYXwaIJ/9EwliSzizrAHDjfQD+46nMh1yrP1Epc
sfR1V9BEWZFn4VhBQwpBpDlXCW7u4AFyP2wVEg0r8N4LrNSNLSU25Zpvvpc3OOVx+LcwMZXwJw/f
8BGqe5w6LXIYsqQwEwzlXVuHn4G8uSNEO9lpJtl45IJ3d0FHZGHh1f5IpvFx6KAEqzG4HXlUdZ/m
NdIzvMLz/CkmlbyAF7GCV1i6Li1agKMXlYhw0zUBwt06W2DYjW87jCUXdg3br30T8899VYcf+zBe
ryyY25KJZT6PARl/APge9XtNcyKPO7JcJ1UVo29FcdwXIf1K+30Y9tO4n9ouUk+zTYP2MCQtiFCA
yXNyPrGpnQslW6fBNW0Il1j42oVFPKCO5EnQdux6ECp6appGwwA94DPk3cCbtOjxewvAX1gTjRfs
HFbkiJcaAQEwVAc4vi9GMet/BKa2puhFHJPPOHhX2NCDdLVnge6TUosuOGsXFj3uuoFjuNne5K0P
xC1jrnsyNhU4HjB5HmdTQQ01Vyy+AnUnLwWsc0Mua7Q0V04Z8dRH2rWFAsxo89YO7qvWHnsFmxJz
mhFAMb9ZsFYwJ3bWHqbOxvDPLjUkU63b0MxDNvqdQkJaHUfe6EvqMb/lAdoRXQ7VErBDsIzQ/JLN
sg9aDcMnLqwrehWrciDBQm7MysMHsGtpBlUQerg80WsznFY0VfDQk2mF7bSBA3txGVpPqDiC+SZu
1jAoTLUr8fxImDhIYeEwgCIFi6igzdh0tLfH2iagUsa+6Ho0afKwj7G2qPzSRuip46naPk7KTP1t
NIerKjFVVD1KWpbMmyhkiAABfwpI1E0UGRVxlcLDurTxlwGy0QBm5SB1XXUEYdY7ct03czJnBaZt
R0VutmZUpuA4cJkvG/BX6ZAbqLkpjPvWV2N/6dMqipEiYDCAibvBAh1CXAZk3pk5SoMonY913dO5
LldsFdAocOPEk8ytW+ZEH2v0atO5aUww/lC7e5gdGuifRlj1F3BtDxWJwL2cBIRSeiqlpwHp7joj
erwHGkAuZToomcEBWMjccfvfxyDjBM9RdZMvM9E49pGBZWoensHaQOyEgx6yHRqNwsqJS1j7duoe
eoGdB8E+3Pg3mGaJS07QVW/Yb0uosvaTEWsTNPmUAugKMNlW3ZrgiEA51h9MA0AhvdJoKN0N6TLi
aWFqZZb+tIHdwtvCkdfN3VOcmsmOJRu08dNlbHB7G1z+UFmoAqKXeHfSaiba5JBAqNrGF8SYxc/Q
IbUaPQ5mh3o5CpF2qMcBck56qJCuI4i50LqLDBXTZy2aqJSeWs1H7wVQWAsktS0gqTLDSg/15Gg7
HMQKxU0G7GCa06sNrV96qIIBwSe5tlUmTB7SJaMH7reYnsD7jR9EaobHAOoanUczzGdII8HeOUBt
Mn4jcIFuYGlII/vDnKisKa2ETsXlW7SAfNyQGfVTZX+RtbW9Y1DHngEHbq9mUsVFHyXmugu9Hw8i
HiHWshmIYBEMD13mVn6+oIXjeTwJT3M3rf10kppAxehSsU4w59j+m0DWCeKvJB0rZIel1JQ63vy9
aoPVoUEIhgM6UEyIVScYO8mE6rGsxtQ9BVvlvMjDel3C+7Rve1au7TR9lQhik7nqLEaDaQssphHZ
hc0B7YRUZwb2cfutDtyOuKCjjqZi65v6CJ+WrYLjaMIU4pxoyaaiInSGR9oTdRaqmX8a7EBDVfAq
qucCgGLLMKFyr27GNCGmRNSd0R8hfYBsAhpWqOwKaDoWiwYpjKArArh1U2Pyhv99QR9+7UC4IZgt
7vmB98lwEdRIRFIQXsNcAW2dGCHdiLxRZTqxDJRUoJsTfAt4MdzVQR5DW3e2iGHpCgPA7GmDYAFr
o8remYDMuM9NHJNQuDuPl13SrEqzQwdtxfcA4iWAh52orwKUYfUZw+XavOPdKPeuK47aM3QwyYWk
nLVPKJGxP8WWdvfzGlfXkEnW32oZ4smn6+YgV6sMkJENORu5aMn6mDpm7lY5NLgF2Nh20/Q4o5ry
EWaFnmX3IeBDXmbdvJ6HAC3acoU25p81pvARsl7Rs4l2HeSJkj0gwGg+6mgiHxOpwjzj0CE2ctig
0Febz2E58jfwVEZtGRllYeoaJgjks9Zm9rxGKhjK/LRBDlpXq8PHRWQPpBGYhgsxcR8dwRCBZyUx
jIVlbWOL0hvA79DmWnDIC+NaLWgKJq+uYyPMVY3knLQkrBb8CCGEeL86rqE61hPuEmoA/pnKJq3z
EQ347RLsHa9CGtWUo6f2LdzEVQY5Sr+0TYkDvYPyCnDJ3TYCAci3RIjk0FsI7MqYjO1hWxx+pmaQ
00E2MorSxuLHqpD0FFXKFatm/hNHtbCXTk9SlMNi03vFpDa4HGMLBoIWKNAYzdfxUEWXaTP0HDKh
yo+5DKvsMgia6MkPbX/hAqHuoNXrCmjAoi9wxZgJPAPPfNEy1cmCI3bGl2b1ncoHiTCRg2nadED9
lfFw2YWRZ0edrOxDUCHO5gbIVR8DDJhHjxSMMfzUZlA85COEGDczFCYE8Q3MYyjIIrgaloqw8TCG
XfO+Z06uBc5NdHXoz8smlku6P7fkdo1XwNBxNFc36TDGHxeoLOrcmuFTrMb5o9TznCMEFtgjFJUQ
StUWS36Qn+pgJTV6KxcUATqPa2lg71HAXT5PtQnOZYdNXcq257fa6PlCswVeD8n7K+AC/CyoSPoB
iHHLsQzq5ElEW3xwlKh7K3103qtZR0Vn03Xv1sgI6cwEiIcrlZ6puJmScssCNE5jm7nTxCI73MMt
25YS4FYpsdRpscTMHNC+hJeTnxtoA9cQMU3efcwqHeZCGQLrJAIvxnSofkBWTErKqH5M0e6fQlqF
TzMU6B8JfoTlgcODg+T/Izw36bUDyX8SVmPXpeYLBMr6ThjiqzzVMwmxD7Y7RLbA5S5DOp5wHsgJ
Y4aKy5RDnIKfvlqXSP7TAewoU4dBZUH25Za7Jpw/BOlAH7ompmNBgeqfCzEh+y+H0rKP46/eAP2X
h14AD5JPOKD60ZbgwOFi+oiJFuF595KqmbJb3TULqrxC3h20SXKB/xkiAee7cQHXAMJxRtYLpDT+
hDiUXTwVz8Tp5pyYZuy2cwi5vX6sWreyr2yic3/WzemoaVFRSXRQppbRVaJ49VCzgNOCPqLLwjYh
JYR34Ya2MSVIO5F9Iok7N94BxcyTyLEjpdOafkZCjkZRWUQ/IN1k5awhCAWxE3QKZeCTuoaghUJj
BTky2nioqjy80Ng0kLFTBiloI+bvZAk8VyUITQj1DkqsvkeKxdbWPdRCyOHZReRYgwtokLqrN7K8
s3GqMcK0sUuk/DCna2W7EkRsirkPlqHWdTddNyvENag1QczkgYjYqOXJ9JsNfY7fgtAh5NRRtGT5
JhpUhrMKNskuK4BY73dCk5pkw6mpneXLPyaot4ghlijt8WfQwvPEXQZaYWC+7LyqhqRwyP3g9vgG
PffSIALyDwZqZGCixwQrnUD48JJ1nAhmjs6J7Cvp4CL5xXpHSc9AP0nkekDtuaYWgSZkpDLiOZcD
jEj5AB5FFTqeHH/sfhJdf/9cL9lefCwkBCewqyKJBOQhuKKXH6tlHtakuuXf+lns3qbxWfgx9tmA
hRjMoMveICpfcvL7FWHjxtPYvcOgfF+HjQA0TDWBX+I7ogn3K9pnVU3MJglqXvGGGojgLHEBLB9t
B7Ly+VX8/zSHN9KH4UraRSf/0QL8lj78n68V+L9JDr9+5leWQ0r+B7+CQL4BszWEqikW+a/c4ZT/
D5qlBEmA8AlBdsGx0H6FOSDVnZAQOdMxPgAMCzFYcpDJe+5wRP+HIfBkj2WB4QMxquy/yXPY1+q/
+G9sMIRGxDSEjA3/CX3Ty7Vcr45sqZjNWQQsURdDn0FeCvYtu6IGmtMcMNGEgCCItcuseTMP9uVO
YozAu4e0CjwfnBm/Z7hgSt9Aujp9Wk1kMZCMCcTByLjyoLTP/vVa3pZoPF8KXw5CsI9A9Lwm+mXc
2TAcmT7RUIJQjkIIkJFec4jTcCn/+0vhUWZxAp0GUmdfla0thFDMU6pBW7v25OJtKRGX1WOo4W/5
sl+KtZ4fIAxPBJIJLAr46V6+Pmdh8hkYHmCG0Di4saN3GAWTH84mZT1VXcHnGPKcquphG6bzW5aj
l2vn5yONAa8AcIyS8DdnsnYNYCmhNUoeTXLoN5vDhNHyv9PW4CrweCK6BBxKgmL7Wsuj6jRWdqkM
KDGaQOMXTZhSmVu4PXRiRPH/+8t7WWr3J8pg2ksJMqag2Elel1q2YKRuQm1OkG6CU+3ld8jSfqT1
POZQhl0mmDLfKO6vBC8/rwjDVcT2YAhEPL0SD1VN360ppA2njjBWQGE94GVl8+Hv97Uvun9t9Oer
UEhdUuSMQ9q3b8V/yfqoqcBBLr05xa2FRzUIruBkuvVhBCKejOyNe/rTU4z+dbVXWwDNDFhYGA1P
KeBORFdjULGjhh1gz2LJMp3Lvn/6+w1GL7uF5ze3R1rsckGo916XMt9AUQHkAxqBJqG3dKbDhxqs
7jmgsvQMyo++NMs9tz4tloGqbwl8mBdAD89MLWdQmpkFwh2tuVy5+OpcHJx7BLzkUaWXh12kAWi0
RuLnsr1RmMI/vH8c6ZyEiOKA7On1iktVnUQz2shTCzc1kuaCtee5c8weQPXv8mJQ6tDGrGWMp3eI
Bkc/E0z4dwAixA3XG9JxRJ3donH4leH0/BVrf6qZf/xoqM/7DoetK9r//F+Lpsvgs98AaJ3QU2Os
bFjZSgzh4D30ASYo9Qj3A9ijNQEROQ8bIlAn5MmpCh1ROTptAeBMeU8VsFGMP3kciqqsphQZFUhP
u6xNJG+iZAvOtx75tAvm8xI9NCyEYIs/GCSsftDgJ4osbmGEogE/wnDaQokg04OZ3YXuJczuwWAK
XbEMLkxYv2n/aJBgfNNTj2SueEMcb2yAIAT6ds74doYcaagvKIYwVw3VFQGq908gkVDWTYighbj8
R+/je40GG2BCvUdRN/oWv3l6bqj+n4/29w0CPTEaA+x6nMH4cpaXTxYgKjNs3V+6am6C3jQwSJHz
sHXvzVaJgzGQ2/x9f/zxigzFGggcEI/XEegZxDdgFHp9klUFXIUehrD+mk30SsYTgkez5OPfr/f7
2Z4yjmoDRc4uqf2ZbvavtYOIMYscEKNPnQdDFiHN97wGQHRII0St/v1Svy/TFGE6SQS3R0YAQr9a
prVhtlvtjFMQA93lHCzh+bwa/sYD/ONVEICFqDlkF+EZvnxlUAUHI77JAMcdpkEJOiULzuBqSu/+
fjOvAj/2Ooa7SSFbRbcIbIq9uk7fBluYiEydHLSA5Ryq7pi4sS4TBRcprRRMjjEWPuFxfSHTf2RU
n2bat2+VpZd24uePgRYGijMIsMPwdeDAssyg+y2H3swN/LAu2XCs1k4f6arbtIgRjnMeTiA9JZm/
D/PK7xHYtZ5qRuw14lPiC+g230wM+ONnggo1BRiQoWd9dazUNAiAIMXqBGxmOieSHTJiwPUhh/qm
UsIgttyITwPDVoYlwd+afdBFthCUyuk0l3wavsNTY2/61JXbtn42HQampdXiwcOPmAvdsjMGM9jF
5KFeIPqt5iL64w0gLQVqdqToADh8uYag88lGn654qI2/ryUXR7PS+rFBFQO7y7uyUiEpRp5onFhy
vEBczpe05e9hrcjOjaiqArC0PTRkzt7NG5/fp3T7vrEKwQCImz6uokaacN8FOCsQey0Ri/ZGe/Ra
sP5zdWJg+c8dvFqdqwbRUM9enXzQ1YgHziZgYm4qu4CUupUo8gZ0dNeR83j2tlACcPbfN0j854eY
7l+TCdH8bwrh1KOWeGbUTvdqEFlDyp7QVt1xqiZIUMi3ebDuH44Umq9q94bZuoBsrCmhMwOlUKtj
RBSSmxPKd/3NOuY8MgK52/B4OwZkmXZ1+N1PYYhSyR943B8YkgVKRLL/A3YGuiDLyFXAwuFsm+cv
3JKHxONCkCaYQqyZYm88899bN9ADBAke6BD2GKBXjxxxwjB6dSgISzf8M1XQoHRDGWzgo+eNxW/0
iX8o2wl6YEyeiG5Ar/hqolCQfU4SReckkEKfIQYMp7btcuq27I0r7b/pZUeK24pgtMgoxVdlvG7s
Ad0boOgMK0nW70GD1/8gWQA6z9FjmkAICQQMJAnSC8SuvCVn/8NZmEBDurtKcDCh8X65DXXdLiDx
oaU13H+qdHrn+LJ79n8MXD9h5E3eOKB+9p6/3StD4FwIAA6emlevEJSkcm2LJYsxfLo3MfoeX8Wl
nxpbINLjO74U4f3cDq6svUBzQ9O2sKqWJUG38vfd88fFhKAmnCyIokNUxstbb422DHIhdVrTWZdE
8CSnDeieoJ3rAt8Q8OPvl/vDoYmkQURSwlEC38Lrip1AAl2PyFs6eS/dqUYmVbHBZvzGjPjH5xsC
ycBKwuOl6asOoFNhPUPNq06YkWGDtg4k5QQ8M6nS4HxV0P/UFsQhTPvDYa2QNg80YDjAX3e5gVh5
Y7++Ts7dayQqU4LbReec0tdvW0MnE8UTkSdkSzRPgsuAAU6v9a1qQzbmyKCAuhIqH6QXBz7DNzXY
ZEGaNOkEdNXjwpu+WGHzv7ZNDBlDpLUJC0ir1be/v5s/bHW0S3C1JTv689sGFJPYtEjpcmJRK99B
hZkcZ8+rSzj6v/z9Sr/DFCm0YZgfCKpKyl5XsNUbtsGKg9djocVual4fldyg8/N1UY8QSgg1TqeG
6wjpn4a8UWj+cJ8IHIBn72dYFn8NIzdB2no2JcspcZU8GkRYH6haEHn9f9g7sybHjSsL/yIosC+v
BHcWWfvWL4jqri4gsWZiSwC/fj7K8ozc9kgx7xNhK9R2NckigMyb957zHSTJ//e3winjBnybNPy4
C355unKrk6oN1K5fkuoLpib5AnVGQoPhm393+f7DIsbloy1CiUhL+tdzo70kad4MXD7hmOk66Wv5
WKV4C9jdFjwXlbsiQmr+m+XjP3yXzP/pymNCtKAc/VqBpSYa3cxTu5lZZ1x5YJ1FXtnr1mRG+Tc3
jfcfNnoqDfOaxQP1ihXrX7/NEG3JkC4WF45xDXixeUaOLjJXL9BckrqMGfra5DAUfcmcbNTGlpPj
MG0WXB/VfRV63ErCocd4SLq5fLHlWGZrtDAhYvESsdSqT1T2ARvWOBf4P7ttmpXQ1TtQF4hB+JWc
OPCbMFxHowfTGnM5WDvQ9NFOzG2wbLA+IvtJi8x6QiK1EB3iTp69hUAy+RsHhYr9FqH2qn76OH7s
dIUkzM9OE9jT5DpSbLPnrmys+VAiA0AtLawKL60prWO1TJOx64Zi7C5eVQ/h2UVUktz7BHrUW/5s
6G2lkT1Pq8GNCpyyxeim5zCovWA9oErDge+p8nFE7Zkc29po9vCQCLeYU/QeBLKIl4pBPpKLwW3y
AwbiVMbhgJF/OxdiTjcVtoH2Jh85TiL7jKQmWKXTUbFmZDRPTKfnxDxVRpeY9B0qaa9l5V2LKwHx
64NQI/olQdJP8RLi1n+UnjCCHV6afL7TSTA+Iu5s+w3q3Ch4AI0UIi6cx3Q4UMROWxVOkdi6jFPx
C8h0WWJk/9GubtmiNmVybf9h/ImASnZe+MyAsIynsmocJGLZaOFClMSKhMM9fd7tMHryFSle+VYa
ofnQw7lYJVU+7Y05LzcOSRhkkoAq7rZTFtQPGCFWI5ibTbHUYme7hcazWFTbdBiPzjjr2JbdR17g
q/cGO1kP+eRs0Tx9uo6hNyM6gKtMLdj5KBc3kSv8nRstzYqKeUE3HqWnzpXT96AnAwb/ZL6qg/Fj
Ub63H50JIfM0AxgFp2+iEMJDf+dFVbtBmC7uCnyW8WAK6xRWZXZ2NNeD0wJyIJG8TIvj7TzDuheC
qKNsnpJDErlFPOXFQFHRBTFQXW/ddcFyz5zyoHq3X4mFebBYilv0YvGk3fZYTBO+LLNA6N5DfsiR
+xFHUuBzczJ0oiK8S0L3oTKyaWPpMNsuxNrEs9EP68RGSrtQuj4gNJbf6rAzb+osIHKgVz4pI337
5Ruqjo0ednxIw3oXNI13aEs0SgHwiQMYFfsAaiPc0KQ42ta0Zb5lbQtvfqvMQb3VItkHnvsIrOTN
m5J6o02EEu2QvFWIFAl5KarwMA5BvR0NXDpYUp+KKEyOXeJgSUubcGMSLMZ1UMvKzSMkIpwbHkC3
jHcqbVFFkE2Ezqa7QVgYrMoJW9ts4K1RxOKFTi8IeKmqfV2F45fboZ/A14SekRAs0S9zPDQK3ihH
c9tsU6BUIkK534BSWdncPK8V1sNpHSjOEWzlLBJ5Ouh3yXd/gR5GsBUGolVYWMysQb8ZDUkxvrWE
J/6l2Uw8EJvEs725uwlnneruHfli0CEqtBOwCOuls9t3w3K2Zp6iLDFsPvMuMOzmx0QymNw7RWkP
6yq8yvPmxgrCG8Pw+5wEnRBpRQkq3jjSnjU7mrRK7NuWb2rVF3W5XsJqfMro6t/ZZW4/JVVdiIMG
urTxIqEulrbDbSNGzcRf0YzLRGdiSkuoJ+nvyk2wmOVJsvX96EEw+ptrYmaca084NxMszUd3LJKv
iOb+ELM3Vxy+k9FcL3M4PTNnqr5a2fpA8qrO+sYct0W/I73bqLblVSyi1x3Mo11PvfQUzm7+Pna8
zmyU0wbBhTr+npMlpto9AMnuXunCMQbJu2zZ9uPAnZA5kXqDZqV+4FgptsVkqLdAoWvCd9KDzpz6
YiuQdb16jUIOEzRar/3Eq/r1sHQ8HKVteHFhusU69X0vzin3DoPyClwRk73hVBq124JzU7VHKcvP
9yjjXlSi02UTesKCwJbqRKAkR4gXV4wGCQ3Kyus9aOhjCpvt0awyAmyCdrC3WNCl8VJHLr9iIIso
O5G5xkf1i/FltKdBnwFTpbciJOQDNPNybnqMGW7m8qqOFPgFhf849ra3kIgTqKMvs+w21538RuvO
3tA4827TlkcVV2K1bJdhKrag39B8MJdOb8tSjvCUvMy75SFSPFRcXZrw6lhUEUiALJPf2zFtUQK2
1lMn+L5FXszIFet5F0IY2hutO6MmstU9ZPYr2Z0TJvriRY7rQuWCSDZP7L2p4mWNYbqzUIUcpZVH
N8vYye/9LNu3MeN7XYJA/SDoC/nuAkgWfTvS+iOa7nk3RH33GenOu3UXZcAlJpvudhJXy5n2obJ8
wkR3QwRoNjIyoFIan9CNxbYs17ge0tjAlXlNMsrymhVqSLoV5DfrSVqzd4uHO3mWfpZefG9ovvmp
X6x71HPo5lEYWqsxpLTzBscmYSFUxxkX1jo1hvHUVvzyDPWnZyjIrItpIvaO5G9L00hvh0j5yyoL
QZStajNkYuGo8gBSFpkjgZxFvhaFTo5Z1fMDUJ3CFcbKsl/ni2yG1cJzThur7l7nmaY14ovuM0hd
L06SuTxYbX+9y4cMsadEO/GIhW98cZt+wDzZ8CFLzywe4NHIDyfP/EcjWhQW1VpntxBxamvVuXX7
Vqplugv9bngx5VQ8iOvltlty57zcgpDgjrxRYcxbcPQmLg+jyW5dXDdPJDTOdyZA3S9zIUnGmFwP
a0cbJg/Ee7kHZWb1jU/e2YNoluKBQnp6htTdfS56dI3j0tIS3xh4Dr8CQNaoLIcsISLOszpslr6h
69g3mqBmJV/I8BKGnzy4GQeMlUTkMh+qccQ6kw3cSYuhWpZe3+VOY83KbssibyyMu0tzZyCsR6o8
l1xrE6QfbjSnCesY2+1XExqc2EazQmVYaWI1mtx6cVOp16PurJ/+mA9DzKOn7lktlq/Gxnsd+3Y9
F3Gbe8NPaG2LxzULuPel5Gvx2cm7nakLq12B1rWeFrs0HqLeZDUL/PHnJEN1D9ePxr+y5aUfZ/mO
cFvdW32Y3sJdgIoakaAoutA5sI5FCMXhdB+wB/WvSojavG+NsGONb4rKOzRzw5cH4eHMmTjZyiFp
WcRAy9I37R2wiIkTflsILbsklUx3I67xPQFHXBq2zRundQvS9oJU3PkuKViydrtn1OvYS5bsq08b
/qdOSrlORul89yLCxlxZLjHePwweDhYib3T8ncX3tWKi6a4LUr+IFsLc8wAub7qjCEHm6ObJi12m
blwazSP61PMYsCROpik4y2BN0UOUg1YJj2i5gP1VsuVtC//W1JV1yQJCfvxrsNlkCuM8+RgL6tlL
Hv2EHL9oEkPKolst1zw79FmWZx6wyB7HecYJwrN5NlPd3tRpUB/TrMaBDX5sO0WM/2ihfmBMVgdo
l9ND0YzOJ6reoxKmxZIW8g+nU5sa4Ww89e5pmnL3lXobfR8EsO+g9ZgzNT3eXsM+qIQs0FhlFKRj
3syvIXDoB7PO9Bae2d5vSrWOtCFILlTNHrHsB/2/6h0XEZLooOFLsg3cyLnPCScO5tnNri6B7lAY
Jr6rxDBvi8qV224gzSmzBhSgs9Z3LqFbO4d4NWw7hs9SF6UPAwgKJNxJcDeYUb2iMT0jTE7cj0hE
/ovf9eVeiOBlys1qR7s0ow6klEOWOGNZFDo7C9I+4sayD4mzWN8zM9FbHCfmDoAm4E8xOGs98jCC
l+yRz9MqTOfZP1FcuK+56yFtnJotjxMLMIFdyyr1VbRDLRV9YQuxXyfpkjJRRQuqhcp9QtmfxxM1
7NZj7TpVSVe+WF4Q3M8Ae7fe2E0wGakLV5jPgcoB3/i5MGqyY5mSiKdybgNBqBeZnlONO1jKOVu5
FQ68SaJVZYCwihZkmUPgU9C7KbbaeSqOqa73fQFnYOW5xk0z59P9YtqvvTCqLY8icruFiDemehRk
wXCpXC95LosmFtDKtwVLYL6SYS8eQrNd1vhzwlM3i6tGPNtkXklmodN6t5X0gOlkOrIYWpTLYZ4b
0ts8g22HHOaCB44sVplO+OtyJ2sAMS6QXMGTcSwF8cBjxAxtPKP9zN8q2/V3ZAbUbDkTpnm1gNwH
ymNMdxG+k5uZZjanumDEEzSATT9GWpgPpJcdW9zx+2QkXhVk2rnkKp+6WqPtdpuS4aju8dR3/Q19
X7ioXb4HsRm9EZa24pzzQartEFeZt8AEwtyVBzXhcePYW2/T7LaHxg6+W4v/M2kb9Y2KtfxWor9l
0eqMZ+iBxtYZh3SDMZi4WdT86xKdLkPvqF/Av6IOphya9iD2RnHEDq9dvL9mF+yDwrLYY1y/uTVw
Waareg6aW5oqDfS8MCd2bwC6RrCp5eVg2PL6nsyz6t4X9JHxHbGAwsXsP8uOmMK6yzOSj0wcNLbB
CypUAEevzZvH2bVD/dZS8XDdIFZuK/K92SUM3zmUMmRHiSCysVvSuVtKC5BCSkPy0BDi8kR9zMmU
tGT3mBZT91kVTf/ZDR1NBPJ4q6/CrekqdEuffDO73PoOOoWdvnHn6a5TU/LNLvA8xZDGDYx+S9J9
Gp4kxddewNdulsKrH0s1sTB02aQbUunAe2/dSNPRGKaM2wMPIwVOU5fNY+YPpJVGmN2+eZbH34nk
VLZgLSMsEG5tchvVDkam9djxKTe5h1xqXaPSCjjEwAJc5cKtu5NYvJ5zo1mPVhZrqUW6pXjllRds
RaSlapqf68yFIbZDwkoJ0DMhTVa/B73mmenC1GsritYy8blKBnw0H6DHQHxxOyJxTQdUz6sk9UiU
HTAJrQblEL+qETt/+8eX6Y1Gisqe8aSIgSujTAsssOwrzhPNzgGCGsMn6YqYXhBfPdD0+tFDP1bv
SpHT7kFZIDhgYtDfS4su0K2tvGuyMGTO04wg/NHTKCq4hMxbY50ofr8i8OiHtJIQxVOHimHcVTPC
j3M09uPX6NOZXQ22J7Ozb1jI0efR3hEkWb9WVgQhL4gU7nIZmk86k90Mztu1klt3uCZG2qPJZ6Qq
51OLOuHi+fNUG8z/QIjFXBOeXXr/GRHbqKYT7rmenwfC2X0KTi/gzwhzvJm7sfsp8i4n13VoFQOM
qBI5rniB0ZEwIRoAmsu57Gv6f0dNHhJwtKanovMyV+YH029pouDVLnMWF4EbgGeKAzebMPtXXA1X
q02NkYmIiwVS8W02YgBT1xKyDGob/wTawGcL+sFGlY15ZCbd7nU1OPdVGk43aJnECxZX/axtd/xH
W/3/Nah/o0H1EIj+qXP6bxLU+IOgKCx8gqb8/6hQ//G3/hChMr7/zXLo8pjXdB0v9HjBP0SoFnpS
10RCiCaLvi4KtP8Wobr2byYdAdzURA6C2b6qC/8QoTrEkDm8YBDS5XYCpjv/FxHqr5IHAkSQawFi
ZCDHhMB2r13nP2lF0DDBK6Biv9SaMPVRX+/jxgEHTAdKj/e+4c3HfBrrYmMSKPreN+74jKxogm0Y
1er1T9/ef1A9Wb801q+fxjUjeurMx9Cn+r8M6d16vp6yh/Fiq9oiqHmhcToEDWZX9JbQeUftDu/B
KHko2yrsFc9Hy44EPDhwcZYE9WfU9xRn5F5j+ipL65mOFJXj7HvJTwt28bT960/8uw7rT+PF3z8x
YuDrLNVjZPvrUM8V2HaBa/YXZ4I+tfZ5cp9HFxHFtg/mhqPMPFmcJwP8oUvgYxuaC9PZVXhULOzS
7FPZ1HUWZynJet+LBqdglZlwZFqvoMJq8uyuGKAuYP7r1gFi/ZcuUyd45BRDrDH+GVnYWO3++rf6
98uAzt4MuBA+98a/ic+C2cDcJ8vuQghP9NKkzFZXLsmikoMqhzs9tdGjTKzy7a/f9pcJB4ObANlu
4ETYDq7/uH6sP92LnjmlDBLT+lKHhCxDWx4uwK2QZyXZy1+/03UY9Oerdn2niAnslV3I/nBVhv/5
nThXzYuCO3EBZeR+gNtvyx3D6NleFTLbmAoQcOyYc0jfzPF09Xc3zXXS+69vz43C7Aj5t++zOvzy
9shsBJYCaCaBKjximwbvoyivnwEEeLfBHNdwpuHS73SpNKCaogl+4q6F3h7N7s3k44+NHZ1DvqAG
rJ6dVtrOOgvn+ac0aPSaBkiO2ANP0+49x1+GvxkP/TplvULwsEXYFlp4YiZwR/zr12f6g1d7XkIy
8JBUHwJTGdHFRtHX7sqZScY5EpxdfAf4DIdoUYBxMbyImLFV8NUHy9LEM4NI7En5+FO0TvDJqCAL
jn99ieEl/votk0jBTYQyjbWVp/M64/rT7eS3oTBhIzvn3IWhGYVrxmcLesrJibY0I4e4BeVxP1YI
WlZY8YO4teodTV25K11JknypqgdJMuK0CkqdvuqcYnruMB1JT8lnqp+QROg6oQudMw/ASYxtMMm7
+qIl+l5l4EdLUysiWHkBIxfbY1btYY2UD3ae3qWwY6ZVOQTqwijsqbcrw1n7I6MqSzDgW7fusDBL
1GF+U2Ze+J6YkA0yP7RuFqxBUazNDIcXN504GGFLp1TP4bK2tGesl3z6ITs4PQOoWVyVVR9sk04N
B5L27CeVkSG5SwLDEqslK5LvEeEQ2PtrZXwbKhhTEjTBAZayPFgozz7FKJkG4SAuHkWUTMFqxFd1
bJOWri/fA043O7qFpTFt8HOprWVN1rgp0dcBs9H0eenWZMmmQgiwHmR0myVAlNYggfs9W42tqb8g
kYR9UL5NlZmd7DaSjx5ubeorDvLAZit0WH7TbjpzypftWITp1sBw9gF2Qn+BB5ReDMzPHFZ1ao/p
durzhodD682cjkO4bZskW5e0QPY1PwpA1W0RFI3QpWhL5yTKBwnnr6DxmAO5fZnETm/UFWbmYpMy
KjLvNdUt7Z8WklzOndRvnR6lEUrAYLpBo8spEUCo6quK4cQVBPOJpsO2l/dOG9PVWBu1LOXND3uu
8t7hlNgPgzQvfdHD28O4rZYdaME+OVRQ++UqtzlFmIFBs2l2qOAHrgHDQ5gzmIszuD/rOknYD/uy
0GpDFldqxm3ZU+xmCtdKsy/mQGdrwqGj/ob2gsMdpRNURUTNsxdufSPLk9uRR4fcWRVKJheWQ5TY
ti5FG60wpGFHRp4hfI7r6EvxyiXwjQExJhwCsohUvK0ug7LadAlVwdar02qJQ6TKS1zbBcSrKmuN
EpTXnHZ3OMXhBjepCL9o/QTCXJuNjfKWzPHw4kHHSY61E/SBl8f11Kll3ndIWlpALil9pk3SjYva
Rm1Xi+1c+tW8N7uukrFnY46Ng8mbyx1KO0GeODLYV0NWDHkcxy+qNf81DY7ypgEprOeckFdVVB2c
NurLTQFU+GEZegfwFDZz65TprKOvGWR21u+SdpT1I5uxc8T1ZxfbQfIJGG+U1yGChRwrDvNZ6nMV
wpZjblTLFmqhNRxbkmPLdZo46YDiceRyiqC7npjpgS8/MWBGPmyRHu4KETg0uixTuHvsbIUfA/ZT
zlo0giHakHDSw5wqIzIydO7GqLDzBZNuvhgnMyndLWpu6FpBFgVyY6FUbA6MsDXD08jNiNzi51YW
Daaa2ycF+Doh6F5WsDyMby1e1hkaO8+RfbGYtTJxC2n+Ok9zqe3hgvyVXmKN5/PsDTVbUoqvj78Q
MWx1tgSWWPU7lJA6OzKeKadtp71FnMhM6p9cziofDAk5QoUWNy/wdtQAm85fBB8eujSsTIewqBjb
5Ib4aPVeak1lkaf5+Nh5vv4u28yBGkLk8iYkgZSuQ5jwOl7ZENlSt6N1gcviuPdd71lPVg99gxkD
qTBxT9DFtKF3kTNIm2wbzFSAn/+W4Xf0UpvqenPmOYe2oGR8dUe7pA9jU2muTaZrPlgDj8w6sYNF
LxhPubsrVsl2TT40x+2+ixL7Lm8hzj3YIeOgw+Tmejj3DKsoPpn73qF79ZmA6Yq3bpqFvPbJrvqF
42Fw/eWvH12zPvG5MF1f6MrzWzC24qvKiqZY4qgYeXRkmRYCH1Fw7TzRW/xI+f9YU+2+zm6V5c74
gB2JBPWQkZg0nBkJy24laMiB0DFJQN3Mo6I1wp8BPvEbsYAAELnWyX1dvTAri45QhEW4IhKk4L6A
zPSha/gYcD7y+cHpJ7M7pZS5+amRsG0fQ3aLXVeb1kVFqXpH1eara+yEsI9NmEbDiQhC/NxoMhRi
YODFO8kctLhireYfRVl4d9PQgTxQJJgWrwyE0m4PSqj6IvLguoYIRReFcwAh2QJSY7eVxDy+Gojy
UFnIFLSCyzI3tzpjZNF3J3gtubf2bKTXLHto7lcQpKKXNjfGdFPaNY/JYiROdHDrxlI/Kxbk+Rha
3FIbKHDcI7kHfGQLjmTcsMlodbIY9Pkx1p9+ZKd1RpPSW+Xf2gjEpjFTph+XqG+tT5CPc0fQsRWM
EOVsXmqqrCsoUEPMvY77IAQZaPmJFqIld57mANDGyLg4DLq9W6He2C/6CgCF1dQtO0kDsznX/uTe
GD0GsU3GSG08pWTjZDGCmCp7ohLpPmkas4ywdHbjqsg6DUJBj6FiF5jVY5kqS7xZzeKE4wpQXTE/
yx7OGC+GEGSTkUyUHo1E6u9ZahojeSSdXxwEOqr7qTOSZdfClxIbsQzcpMLuc+duKsrFu1Q+Kh3M
1aPpn10rg845U910G5orXDUd1jS1MeFXrB1dV26syZna9VgCq9stxErxUd0pDdZzwiQ3TiTIqFew
AtZT/nvnjZ0ueuFer7q7OqpJvh1sGZHIQMuPRK/hnSGODq1VUYzBswflSq813F8XDGFJMJhKiApl
c+eO3khaw2rLwWGeboTTF81N0MrMuYPYVvoH8q/QOQgEPem5aA2GSBWyGXtFNTb057JM+PwtGRfb
LguLDCSsaR5m5fLcz74fCBT/WXD+vSr9/07K33RSyP0w0ZD9727es4AmzH+kFH/upfzx9/7p6A1/
s+iIuJZN55H+qc9L/tFMiazf8G/Rj7wGVv7Tysu//rNrYv5mIWW7NlNcHGoBh4V/Zs3/0Zcgw/5/
tRD9crK4HiZsVNq/H1fxz/6qjhvMPsz6MUsP4I+Ws1m1UFhyxkkrFxu6tSZhqv0xDaP6Ia02+Ztz
Da2Zfz3X8O5X3zJLou9cw6N/1biKALhXwUDuUOXNcsYqtWwNu2NlWSoZrr0+M/e98kBw2GzL+cpS
c+Eylrfrm8YlF3FJBgbukOGoDBvwCiV0t7lp4yKxp7tWoKzg/C/fF1nA0YHVIwZi2EQwD3BHpL1x
rH45RwQb7fmU19KU1aG4jOTI/Qzyq6aEoSiEXHQe3Sqnyny4QhYYzibTDo8gffyAzyudbEZM7yZH
6m6+N7+e6hs+JtPqhFTID6Tay5b07GJdD5TCM5Ita+VnrlHLfTkzm24frWQZjGM4QftCMsRV+oSa
mfpbHaHBeTFHYtQ21ZCyr7FuGt57ZlLYCFZPOHkofJwidDgaKanvlB0MGbESoU4vQEEyxDXFbKUP
lNb+1iyLSrkrkVZmuLUB2ZhrI0Pae7Dc60+mFjXY20TQfb3zKcBBe0KeX5HS1BawZbsg5UwWsj7j
X/StVDDZ8xP0wAgo0u/VMqe3I22iTWMuJZKyYFZXaJIK35CC9AaeXggculbBbvCXdc+fSDsa2x9e
rsZLEOYsroVJWFJJbOn9IuxmrZNkZIpyH4VAJKq2Ms9WF5Y7+GmyhWsTj6WvUEforeJMfKeywuaG
kQExIQPMOiTRyf1Id/y5kF4BugRMcUCtF0NCAc8IxumnUU/5Q9j104oENLahyIDKjWrz0JOA9Z57
V7Iq8e10vNqanabuj6zae9uyyoeszIv7ESQOhbbB+Z9Q1Z1haf8I6fAwRfNTQImHXjeKuu9eg86h
KrJgPTmOADXpVxtT99UpMMsOVAdn32wR5XMzIlVSTAR2gFejH37KGHHF4TS/Y3Kk4D5ansXwcTYv
Eedj0Ma5ZRzrzL8KnMzr7L6TAEyUWl7gBj/lhrTffT+VKdPJ4oegMHnxOSOtXbQrW1yL7gHB2wgL
a6oOraN/JkkXfixTYW0iSUg7xUjaf4Ch2+SLwK2SaZeGkj4hbPRQQHQlI7jFqUg8TMiaSd3i0ESW
f2ZWbb1PDJEAJtXgF204jKj3S1ipcxSjE+2eQIqkt472ON+Bejtpas5LSZrTvkqldy8JoLsMo8zf
FDqad65oiYVtcE5Ds5R7piQIVha3/MGU1k/ipE2DI32X5U55FD1VzyywEtIi1UqGwcOc98SHYYBl
WXEmcQ7n1rln7uaDNeWR2JdTmxgMXAVwdD91bodw6G5GUJmvE0d0UHQzHFlQcuLcZ4V6GopBPwrh
y6NTpPXGmET0zugtf2lHvz/1XhMZmwkqLVHewWJvLVLdIZlFyUEuk0bMjcAa9BvneDV6X97Yqh3K
2Pl1yuE0ppFxqAtZHXovOZdgiNcoVsyVjmiOWnV6sCN5mj2TEIDIWUkOp59A7WxigutybzK9XtWe
bGhGdCPHSNDhdmbiTiPv7rsE037igAD11wVD49euvs8bT10yQON7mNfOPfl889vQiOWHl1jjPV9I
cgv8d3ilDLZijFIkC9AtWjfVlO916eY76eZUz6THFc/E0JU7LjtPi6E54gaF/HSQB1I+VUCxpoRa
fqI4XKmq7e8Ca6yJTKpmP85pI1F0efbXcmWH4tNJUEWanNkiG9UUMZ7nLKnugAtFF7ux07drpgAS
0YiilzilcQVVxzz7ojDPUV9EF6Op7Pt5GiH+Wd0c3RCVyYCrnG5LNTDBt3hQj8OQuuvFvfIpEt1P
B1FY6RE5Qb1OQ0TKfBn1eVA9tl2HpaYu65Phe/nRVq6FP4sovBjiTxJ3yp9/ZLmeWn7psBWrgf7L
njgu9R1A12YyGZSzl0SbRDX2t3wYxaHsPOS2rhBPVpt3Dymtgovdw1kzBrXATJwL9dzVQ3SZvGA5
o1kzPpBoEZNjWfqhFA1QSJ6e4KbWev6cERPNgEGVt69rTx+NtBp3uP7Gy9i3ztHm+LANhVIvGrLX
Hc2FZD2747ID65Pds7PJdz8amu9hXwdfs0D5Do2SxifxjZ/gz/ONK5aI5EKJhC8cTqB6vTUKqz42
Gj4nUQ+dcQgtiAOInsrxA4azVdIcg48eMy7Nj2XmqpeEoKpNE8jmEHqVSGLPz4uvmhxGtIijeg1T
4KAbuI/VdydNw13N+Po8EDR2GsMamS2kqAPp2PtoKGz0BDb7G3PDvrz0rhnd5mHVnQtr7jfApJqj
aoz+nPQGgF+38C50dcaVMdbDK9MsSMUyGq+iamh8q87Rw71MO5iGRjT/NJ2hHFYRAVP1KuI7PpW6
N8i+9fx3JRqWngIsxarp0FZcF23pw5VPkg2u/+Y2KGrnIsykZlka53URljPC8cQLd0Hf/H5PaOHE
dgQwneNVE09NEH4UCAa2JKJ9uPCMz0Zae49hCgIe/Zpzo1EwsQzO9h3IZJM0pPp8vYBHVTpIhnrk
YjPxGFGu7PMQ9vkhtRsIaFnd3DWp7TwHYT8CGCdEAd+th8OYtC26hLilfTbHsoA/B1dIHubF7O4D
L3V/9BkNt5XVy2U96DF6RPcgr0J2ewuo0Xrykjxz48qQ7l2RqCvjd5yi+zKtgx1t8YbOrXMDcVhz
2SvXPCvTOveuTyuwt0MYLIb6mQ2cxfAn6WgPAgEFhoGapCs7+OrJ3N3JpZR3xSzVPqfRuJ9gEcUL
Ov9Y6yVayMNrg1dqAfuJRjcyEkwJwVdYGcN71YTeNinkGwYFIh7z6N6x2y7n9zMxc1KndHsO7xzt
cuBfRy1bA+aw3dFpA/+RsGmr5YeQbcXsD4w5COxp7TVsbzM9WW5Nt4ORxomf816xtQSb9eAXxAhr
JNBgn+Gqoy1iEb7QHlPrTrV0ZtrqdkR7SFjyYro79juE5O5Q0LBF3WgAI9zbTRneMs+hx2IG4p0C
ze9iOIkUIHOyH2SexGlWRPYqsJCzHCB3WjF3dnmnGzlmcetOOZ0ys6F8pSe5KYxCPwDvoi++OPrg
m3N9i/ZI85w4fsvNEQGXQm23cRl47QpcgHg7bIppwNITuEDb1I+jWabPZtGUz4zkwy3pbosbe4lS
t7Loo9NS+FQrqZcczEAO1So1c2ASRcMORqstOYhhRKc0pU5+zPsIfKQYLQGiN42afaXstPvpVHnQ
YbMoiKgLARGr8CYhjWc99WF79MpMMZftnLNLsPQlUq21hqucxn2qEIPXetmkFP5vix+ectd/Sn2h
14MNOl94Fr+le6yKwPr2X+yd2XLcRpqFX6VfAArsQF5OoXYWi2SRIkXdIChRwg4k9uXp50vampHp
bqt974gOh91ailUFJDLPf853Es82V82ck98JXZxpXuF+ghVsHmYNJXQYY2td9xpsaGt5aeL5S+Jp
d74kTgGMyF3nC8nQFmtegMVh3OmWBsgAN8XEEeEqyY1ik6fRR74WVED8kng7gc9bOZsbLU9uIEta
161jPwNDQHoCpUOQAFI0BP0mkEXOB1NQ6ZkXMyRLy2Ii7dnKLlhbKoGzZXaGqJMMNzGuoUcLFHcW
YIsBRoa9eaugk8FC43QQZrjjgL53eH2wVOMBBO6WWs+zZk67NMGEVAh/B9Xfu5lckn/SLbPrksvv
RWu9DaSx8KHoWncvITNCgW/167jIk/UQjTbxmobHXBsnh0R6/pa5EDbMNnTokCEWD6Q5OmOM48lO
QdQNlt98nfo5SktXcE6QTRfQ1/Or2Nafj6UUp5GrxX/KRJrz4R8HXnFoI4uDIz+klDuzhZs8EkiL
zyrt9Bm+f73kRMpequSRrWe/CNq+G95yKnVNQsVEKnxmioZ49+JLUgJDX2RyMKaq+bqkwKtkksc3
PkmMy0/KwL+xCbxLtqqXssA7WVC6dMAt75OtCP4pwPiCl0JsLDfcI/RLlqQcvv3167zPtr69kM14
E8GBMrw/VQ9mFc7PJvMilf+ftzGF3gdXxQzyMulua0A64jSIWE/40osX6UVq1rJE8Q1GR3W4DtH0
Nm8/0j/60S/0I2FYDNH/s3zEAA4r89fuX9X3fzH17Isvf/Tk/Pbnf5eRPPcD8Gk4bkz/yUe/SUa/
y0ie9wEFF6eIzpiIsbHOZfxDTfI/CLBwnJy5+PDfuPzSD3XJ/4AYYSnEk6sIL/zSOzXpr9SlP192
8BV02zIwCHArWeqd/zy4nsFFGRzw9D39j0ERfc8j7Waaw0Oqpn94ZYtEP7Z6uBFh/4kYAEU67S9u
ZvGnpYQfAdIirAnesykM9es/zc4rx3Wl73PaqxrOzqH9aWaW3w7ZpiSSl5lypXd1Dwk8IgyQ03Qg
o3TngejfjOYzaOxgidelRHbVmUQllb/teJpJjylC7IYr2xlWhmTfgd95pcuvNhmwpIpXfUkYPvuc
tuZG/SsgtxVw248tPeVJ0a5abTM79FRVnUL/Zu6p1gn+rRa9I5VBE41lrfWMqbRVPs5+hrJrWPgA
/VVhcQowLaBHDHppVL2zu5bnSu6vKKe5dpzUX1mdhaqQnWytv8vjst9MAONNTXR3rng2LG3TRt7L
gpF2UyBEsTukF4GSi5oquDje9FW+HqaCVTW7TFr4kNYjiNWW2tlOfu6Fqe/oJbhlkAaPt/yyRFCT
0iyoXaKE7sKPMXacJSzw2AX82h2lEVjE9fFrSe9Z5HK4LhmyrXIdNLLb8mLLlt6mm0iR8/9ZXMou
6eZfLC6eqx6V/3lxYUGpmpfX6mdh+rc/88Pkp+PXg0grhHr0qSXl/3RpMtQfoKXYMFRtTGKOx530
+4JiG5j8ULJx4L2tNEq5/rGgsEKRAGM58Ry25/wlf2dBeQMG/ew38kH4edhgPJ+X43H27m4m0SZB
KDE8hg9dp2KLTO7P/admEISNjkQPkJRXBFD8mLu47dzEOVmM5yjoI3jkeED/qpk88FGRyjPrutQw
cIGagXrO3lbdSgSHdn2WdlO4y3yyX8nJicaB23Th/w37PfXdvNZH3RkIgkb4jwuc07jcC1jTSCC+
R2SKZHVAbwulLUfwGQjJRG8xyBOZIZ74bJbkAwPKDWiPuU/rBUzOxrej0bvz46mPxU2SdBt1FFQY
E586xYDxNY1med8sGpHoWYPEGBEqZD/9z13z39w1eD+4zP/zXfM/TfZSti/tz3fNb3/mxzRHMLIh
m4xBy3bBlKhn7Y9pjv3BNVzhutjL3kyzbAF/PIbdD3hpsSbaGPiwqXg/3TUWNxSwE/WIhn/mm39r
yAPH7I+DFvgH/M+C2WYAvOInVfvQnx6CNagajGC9zaHSp+PNodW2Kbtht4TxdGT2ykT3TVIiozq/
Up7onZzMRnKCMDZeKqVD9UqRwi1DAwj35Rk7q/Xg4haLVi6HjXXU2t45zocW0XVIHgqldtExmhyK
yDU+VzL0OUYhjeKU3XRKJxuUYja9iWfJm5DW9nL5qkuoW0kY0ewYTpl537SQ48Gdl1ehUuR6q12R
qy2vK2gjATMbCNlpER+NocWPkBTIegUxi7WptL7iTfYLEQAriXAoc19gfY/gEIGeNu8mDbHNU+qh
oXTE+U1SHCqr3poewqGhFEflPDkzjL41JhooQmRJqhGQWZVSWdY0z6z0WlrfcQoqcxqapv8mbzZK
6WR8ZsMzxTYCxAshtOFAs3N49r2OIy9iNUS5a6WdlkpFrd8E1elNW1Uqq1B666iUV11psJ1h9k+V
0mUJjY53ndJqhVJtIbVad5FScqngas6uReKI400ScL5JtjQqof0qFZgIxQTNJvK28CuGHXItb0Pp
xrZSkAelJddKVdaQl5PGmQPIE1cmwrMdatOmT3KO/UqVbpGnC6VTazBxYP2jXNfV8mQrNbtWujbB
Y/ol0i656lx73LlK/zaVEm68ieJCQxqN4X1rG6JQ/ZVU+nk0o6R7NVJDqtT1ULrjvWR9fRChnVyj
1+vX45sg3yttPuzs9pT2en5vV7bcFbivxWokakv8N/eYkeWWdbdA/72OSGVsZ8/DAKCpeQD+A0YD
cN5UCNIaVN+nfivUDKF6GyekarLQEwU7h66b7ym4tK5cNYEopEu/i+8ln2o1nyjVpAJW/rKf1PQC
P4J1ZaqJRqNmG52acqSLJQJ6Z/MDchXB7BC9QJSOfzZrBjOlmpXUamqSGLncp2kO4KxQU5Xxbb6C
EmWqictQ1c0ehBxNCExj4h6QPK1tzGhMGXovNWMbR81v4D3RWIc8fajq0N56as4zk7R4tBj9zKPF
EEiLbPPZ88uHarCWx1bNihY1NareBkhAeLWjQ9sdHj9MQ+f4bdg0qrkT7ov0lskswyibLfZXAO7x
rlSzqkhNrTCmFsFgac1GH8A8pGq6Nao5l9vTKubbeQH7rO2+sONgINZlxkPHiAz7kHusGJqVFJEH
lA8X5SpRMzUYgvnFYczmzmN3dMOlPNhZAYNe9oRm1FwO73xy8LAbbWk5qtc844n/qEmebHX72wJG
ILCyNGbbzsQvVbM/j2bcjx57+DtpFlXAF8qQsFHzwto15K3WTNgAmSXWb2NFIbZOlxao6cx+aAxA
tM/vBjWL1EL4opmaT6ZqUlkaPkPLfNSHc6kmmZYS80NbX4/6BKdEzTuH3Og1vCuW/wkLPQK2fBuO
0oxebUo1MV3aKiPa3ClWxOwwWx4mV/Hzx4oykZmjAxv11VL1pHaFGD5GC5iCFXhtijiaiNo0rWUM
K2SjX0WyltdzGeobw9A+MVFqVNQb326SC0CwDHQD0ZREp7TkiXY0/ZDrNGRUelqvzDSrvuRuzGy8
isWdQ8/MoW2J0q/oguzukk5jju4RyKX15MVNPQQntIxbvXWLDonL0s+DX+mBHxbMMUw/dze0aopH
wVPjvFCm+9T4dnIqluEziUl3zxMR5EfaDuc2shMupTE9talbBt2siVPR281tR1TyOtXHmqqPJKfO
jVQ/vs+I3R49UUyL5MZpa+spw6S2dwl+bAiUV1sSn+a3xYt6VHMhX2yrRoVn5m9/UmLXR2KmA4OO
JBNbKxXRju4quojmiL2aEca3huL1UAFG0AH18V7v+ehLEoprgEFy006mf+Ujs6TrKSeMbXnpyIVm
jExDbIcWVb1fdnNk9buSsrRDJhb5Me8pLuZ0uMnmcLnNcKpu5DBQuzd3+kKfjobJ3ImmrVtXw9kY
IvMojCj7PNbMA0eT4x54Mf064Ra/akNT7vGyk1vL6kY8o8sm66Ic9U952IR7Vqb4EHbmeoYUf7tA
pPwqgQUfZedTNhR57Y1BmPVAJjXcuoi8d/k8+h+j0Q+3hl7r9/GQ0NdEdlqj4lBzt1bsNedmrkk5
LrTaLj3Lf990C8Uskx1hGB6NNU4Aimlb7copdZP6o5KWuHpF9Y9TYNksAc2woiU64ya94dmfptFD
77ARWaU9LZNBaXEkraM631cxt/Rqkl6WrQBjjAi4oV9/F1QyHmAtkdeYRu2U0Pg4s6O+HfDq7jun
f3Ya520mxt4cl1X/JevcZ8ovX/Sw/+7ly7NfTZfSoIhFW0bJ69UMuink2TR18mDWkTzi1PceBvAf
j4yyyq9YWqenJuQPDhACuNQTSFEZQVreRX+UdQtbeJe7U72412y1QAutFjPTHex+VWfTx5XEp4lj
E6OUqfdv666e3U+tG37vk9ny9/kw8sVR5mzKrYZpLwgrfdfP7Hp2HGqq60TWWvUsWUDZe4lhbUxh
tq2zOSqOhHqbdTum5ppNXnZl4Lg/9k3iPTv41j/rHgyv23CK8ysvdozmQWElwl2+4H8rkbFHKrlW
Ueekr5wvCNA6dTg5GyMeQMZUGuWkh9pLrHWp6fOuERVjC7d9wu4BHGeK8rU+8012kf1EL8S4d9GI
aW/t+jO/c9qK3GM7mccM4e0T+gAebF0jK5RRCftIMZu2Zy/ysVzifBODDjjyBNHuY9LqtDrnRhCV
xozhJqrPDd/mcenGVRcn44udifnYCFcjTaz1OxCxM/1WartlLSbzOsdqrhK8FCFZS3deD1XY7Wn2
Rriv/WTXQi8O5tC+K+DFrdNaiw6LHXUHyplRkeFpHDud/mKDgYHuGfIUhy41o5FXf+4tN0d/d+Zd
Ug8J9Uut2GDyDzdNklcw/yAvrSpw7oRUJb2sfM37XpdkVnOz2Dl6qH8Hkc5kVmaSds8V2SnjlWOg
6z+1el967dfeVjmZj2HN4LMLsIwmGBT+OcT9V4c4ChlQA/7zKe6Q51QzJX88xf32h34c47wPkFRM
UkwODfCCwcP/H+MMzmqgYtmn/KZ9cGD8IX4QY+ShBV3FcElh6TZhr5/ED9dDsuAA+HYsNP+O+EGA
8I/HONj+tHgIRwe+r7CQ4l2sLHETO82NNj5OtYGrc5Tcak4KJEHWHukAAno2ULBU3MusZsOm2IRh
oA++AxO07ap639B+GgZ+lbvHZfHscJMP1cJNp+vTXU9k2N5xYpm1u0ykzVNNUt4J4HNQnjpT0IN5
F9vYKR8Lv17lHC3MVV/oiw31qXdPIiWzsWppfDosxtLZqzKtxGbJPavZDKrXgShLBU6rDdms2r5W
f2Gk6331qXBb47giIbjoqBzYcrs2mH1wVRxQRts8CbOL160o3OvRJlxeDP2lhZ209Vpwr6s5H3Rq
T10juZdpOt9Nsd6dm8gsLkUKumHjTZUG8sJXHd6lo0c0faXykjtyAC6CIRuMy7yPgM8fTdkkV0bs
76bEbFBxqqQiE+IQaGhj8v/daGbGemI4urU7z3zKBZzNxGrye8OE1Cdi+3MEcuUGgUmsYXlZt72Z
NocBvYliTPM2dqnjglLFuHpOXJ53DHYthvVnqxwvjj6ynuQ5sy45efFXCCQSdxA8uobs+ZVRFCBH
ePRccCd5fOxxEl2DBbDPY1xa/Gz90p/0cVObVXUOmWt/TwdXkDCy523rQNqOwH1dqIHB4BNy8AsB
cRCfqVcuEcwVm5wnYWvGqmEfjnPfoV6WEaSH5+0+RYy+WJOYrizpjbdJS3WUzOIvKQUXL07ljmtC
XFe5TvunAx+CXqvQXjUum+2hmor7vMmKoMzIX5pWRtSHTwQHU3bX5Cn9yhMaNzmR9mM2LWjprTmd
ZyhpawkAcWM4/KQasJO1ckA+LChrxSr3a9yhaVkJ/to05dQhpXFlxbV+nPX+Nef330Q9xdTeUGLH
B2MnLh4cuDufKPlqacI0XCka4JmYSBekctAYjE/VbtH68qKbXNGe23cn0j/21UzrtGxwyxlc9tcV
FSzPQ0NZ4Ubruvhop7GxhvuV1yvLGux1nWXjrk9DIl11f+XiGT3qsXs94JsH8+CWeNArXAN+Oml7
q8xpuW65BtcTvW+rPtSYoi7do4Z3I6YaHNaovg29K3sgK9XW5ad57NPb2GputA6MydyItcjti1Hr
+ab05ddWep7y0D7Oik6d07ZYUGO1JdDfzUGRmFc0lMEHUN/U/EobOGNoTB9ImvqT3Qt68HBL7uU4
aNcjyvAm7GW0TnX7mcWwvTFlMW21lp7DPIscbOWt/WiDUIINSOVYEYLr1iyT20o7erQ7rOBYPLOV
rDe9VzS7HCQa4A6e7cmpK+iJqzu6E0pm+GGLy9gVzDvsgqKHlIPjKJNtNqYT7Xx4pEjM5JjRnOgA
qxpY3ZJZB1oCprtiypdd2XGCk1Li088mvP3NAMIEH0Qz2yH7Z2Jid6PdPfZkpfdaPeMKwv5PDAg3
jz3q92WqYXFe10ZjprdzOFrFCYjCuWj8LxXumY3rLuIhtShIpSwmQ9NNwlu2ccmNE7cvpS2R0mrs
I0tivLhycGh5afTuc4v0s1Mi9bqRuXkV5QyZiM9ySesRFqnCzmHYxfntzLK7iiel6lZkZAOvnD8v
PdtgTpphMPRcg8k8zZ/FPKGwMSWr76FQ3Zc6rruIXfBNBSKEELnIe3mLP8M4WLTPwttGhcT/4ZD9
aJe0OmBeBHuVlB3VGrIUly71vmPvHIPInGCRxj7uJ9j97Mo1t/NXKHlFFQZ2gqgdBVXvpKC/Elej
ehnsnW92xXaOMWqxuEPznPrHOJ9bw97PA+5YWozjnmeLVn/NNEhFhGtQaTbYmk33hvMoo620mvx9
1vvpcprsxr2beGDfW03ILZKNXHqHphucT62RNMd4KQipcLZzvnRc/UlgEACLA0MLPZuolPQuNTRO
k7Sa3hwrht6kuGhW7URaRoj03QF5ILqJ8z6/B5xGAWczgA8lJcqFK5YxfgZa3JKzsou9kUTxi0+d
j0Bvb2C3R3NnnyKrIVfq2RKL8zJSATNIZmyjNQwYQ6cFNYGl/Tu9tjolULY5XndD297Ok1nr0MJm
rIGLUUocSFDdkNmmpX+iy7Z+qRs9eeaZzLwR5sV1ay3FDZYY8V2f4h6qZB5aFw1oyJPG/v1c6N4B
GHH+rSgs99UphcORNrbqHjPUkG8iAKEHh27AgtU2aNk/zOuZ8sxiJUI+RWKesf/YD7Nzyt02f9VS
PQ2PRW/C2XVlMt6xEXUfeY6IjaTmGoPLbFKO7nkyxOVtEAvgUDd9zZJE2CxGUfgIJ3a4BXRO3WUx
x9ot/gUmkKZVNM8wKLOzlcuIxkw0Og/rW7EcBB3Hr3ZXZxc5Qp8h6WoGCerxITPINpKM52bFY1Lf
LLUF+IRYEDNDnFohxz1TYL+lr/zZGWccyn5cf/ZtQEklhi/c1ZGIKGypZ+3YGOlwC7YW/InVNtpX
W5+pJQJ4BHgepNm+9+D/YT4b5WcRTaUfzEQHDtLorHGdJmk9Y/gs0icODwxq/crqLqmtCme1yarP
SgE8cM+BSOlNXc5YJDjo8pOLjeU1+nMoutDelImeTWtj0Ij75nZyoSNZ38GiwRze9yXdNT62WZZn
RrQO0yK0A9M7IXLVR4MI59qVKEfzQA9vDsoAq7pcVEuDval1WlZhDHYb2LgCRbmVd0bfdiixjjjl
2oAtywuhsE9eKg+tZxOsK/Kyec6atGNIHPUwGWCnV5+y2ZTlpgO1g1zB3OkbIGDrOtRHubZM94sd
xeKjF5fFC4GKCglAdZayxIekgYeswpMnMlZEZ5r1QwIk+1ostvd5cJp8L2MJg9uMnAUvujVbX7yx
ia+60LAeiSjQdOsXljIANwOSSmVWezAv/GvGSM3fg6iaLz7+wiGYzNh4oVUXCBd25s+UbHd3jugI
f6aTqT/3CxvITaSPPdeS3vYrv/SMV1GbdboJCzciQ1Gl4SfQqeXHGamp3VplPF31bT/vhlTTIJI1
hAkLIKqHNMpu0TUQdEvvHM3DuoqLIQBHRiSMHp1y7gTDdUFvu6dm14K54hpRybwB5aQxFom8Xc1w
Ua6cZrC/UApkgsCvZPSI8c+juqIYYScammXMgdEmOj7kKDq3nblgK1hQxGmE3S22060XaeXbXtf7
k6HFG7dvim9xatLEmPSuB/MZKMZqaEuKJxgYfowcL/zi2lW4HSqkgBXf5tIGkoj9dWxOGcIqCehV
GDqoTEkTgWGlWz19lTo9OtgI+IfU4pylxRqvq7COn/Jwyh8Serl3euJonA/C/tTIiag/KQ//KmsK
EUQ6e8RijI4+rMSW9Grd7/1EoLvQwJR9an38iqs4HLFzx4lDb6+UTHnqcFmuMs2QxxGC0Yl3mJ9M
/M9fwyXptkXSdftC1pTXC6s81HnE1CZbnuQ8jX0AsKF5Ie7r3Vp1rX0jXNwc/jkl/zenZNMCuf5X
p+Tzt/Ffz1WT/Tzr/P0P/fAcGR98xzCZxBMb45CsxpY/PEfig4dzjhkorj0GjS44jR+nZIeJJtAg
GEEenBBXJc1+PyXbOsdugXsAZxQjTzUH/RueI179ZyIJbdwu/QCYBzmv4zp434RnDG496HpUHbiZ
syTIysi5sRpAp0s++r8wFzHW/dNrgS0ikuXjrHtjG/08Vh1a+CS1b5QHD0X0vAyzcU57SzzOfAIn
ojh/s+1EvTdoQqbJ8oqViUnMH8e4DftsDzIYr1cY5LVHXZJ3TicQM92kSJ5diNvbmnzjYXQT8+Gn
6+DfeBXfoXTUi+NLdiH+8O3RMvjOelFregshkCzU0nTda5EDf1/ldJWfZnhqlylcBLFs/Vdv+d98
xA6fFngZ9Nc/BxThl6UNrgq028JQ1M+4e6Wsl5CvSKCARvr8t1/QJeCp83JcvaTf3lsywSxM0mwb
sY+1sLr6bZYWd2JT+Jb22QoH9/mvP9b3pCibG0i3qPogZMiHa/rvZvNsoPUlCqeBsqapZsrlhsT9
lwVL2MofbXArc58Y9JEDovbmzLgwZS0fIYB4YxBD7WAQ57XepZtNlNFmcPoBWGXcngwO7Z9m0//F
VQAS8/1F7zlgErn3YZFjXLDf/bwlTuMoRQHeO5SH2Q9aYTrhVRvllCtEmFLWRR0Z49GgNiKPVm98
A+7B+aJRlL43ORO7xzcCLY5oqABs19wVfESuJWYc1VWx+MZ5SmKG+oNuktB+YyWAP+dzQDkFitGb
LVFQrUkgJszm4m+lMxlnrfGYQfa446+kNk8Xo3On2xDMS86pHzj1F3+wJFi8ZpkGiAw1WAAQF9Ot
yyrhrhOf9uV9qg8a9UGxgEvcmA2XXJjWHNG8FopUBUQxNoxvakrAkcxIknQi7SAG+24q5/HE4QeQ
B2EhuNF0FcGCUAsBOBvuUzY7061G3uhWML3xwZLW8rlPTaKpjW4d3CGDazANg3xmozQwWWuRX0S9
sHwRJRKb1GicF7/RpwtkJTATxRDKZyvupotGYPDB6RTVd0lAVghC5odyFtOzC8O8D3jyIv5j5p4u
DNZ4p0THRvaHLS9IHB94LjBYcDb+6LzkPZ+jvwx8bo1tPPSCL23xa/GI0cl5oUxguiQRgnhNeM/a
kkAFPCEmDZRWO4TT5bdrNU6ZgQWxlYz9daIIljACVZrY4c2a80C5TjsOMCy0hobyo4DWWxyyWquL
DulI+D37UzN+iodRPPqS9XTdZT2AAuqcuE6Yy9gvVevL5ziS3Px1IU4CMYQEPhbCFWxMrgx6c7XA
JkN51dBDjxtRVtRc9lBO1oNr8pFydwNGRm8ogt+gFEOvyGsiNuCvxwqPOkr1Xkdb5Cs6W5v92+dv
T50TWL1vb2JArXTBaXEb1CVbxLff04VhGRSznrJuLDHVEIO8o4tmWI8RI2XgBFzAsbo93C6jEYA2
ijC8MlrGgQHmlR6I+eSLi8VAorFWHUOznqmCr6fnruaE5bCFzszpngM6/QAIrlM4bEHCzKuQ2bu1
Anlj6IfR6LxhWkWFBtSkBfui7VDF0nFdw9EOL5JddY6u6bBtLWNAPSdzETNRMHN8HejRGIIRrm5y
O5IqGJ9aPv4YYEY5QJIii4E7NYOg7Q8cEEFFwtIeHD7n9kFaYbyZEiwwYSkAeZMCqxEJDrhc7C1d
Z9bZ4ewfDMO4D9EzroA/Tw8u2cEgliGBaVObwYgAjqGC3PjU6ma9lvHsrpinGzca1ZmXEQgEKGZO
yZ87RkM211c70lgqkulq8DS40z45slWvk7BZ6dVy9ps+eoUHYZwpBfCOMFPds9RLAYJvsWG2l2PB
Fz5pbbVa0oghNCVGryKJ4TO0Wh8lay5uQdy3o5NO2EMrVgTow0cLQmi5NjT7I3ZBfEpN/VIaXnpO
0T/tfT1aLNmGZ3HRNbgh0KYz6pZig/9YsS5PFx5zXMtmWMbJ3tVCntJwyncELuSzY3TikRM14UXi
2wWy/jBMlwVjxqPKhZ+lbcjnma4WeETZ+DKBLHlMHZcFszIz0r56+pQ2CzeWmB3rEOptsks8yzr4
UihThwjLNY/R6sF1ig3JEYw8vA0G6hYFN+RwFl08La00PheNpiHgx3bvHzjUEywKDNlO2JXofjm6
pmXh+h0cd0MDzjEXMjyB14tuyV7Fh8gXD5D868e8a17mYlKrf2I8tgWBmZRc7JljBes8rRzJUVTS
/NxrYT8GHPA55ovRuzddP/PW1EEcHKvXhrU11kbAfYkQGlaNv6W5obyZeuoKtgtxmSL25bqaWpI8
QxFThzKbCElarkzZhRUC3/M0+0tuWPx+yROr+ejEwgQT5o9IIzUktWq7+DSmrTjG9AwP20w74RTo
+egKNNKlc6JPs+dX+8QuSW7Flr5OeUu4pySZeMoz2mcELfYisnNAnoMmCjJj4GutBVyPJG9tFgs7
j5il++18ADziI3rPPBaKClKPhibzqucQWZ3QYXnL3IWLpu65UlrINesIBzaXUk+jwDqKK+OMbZ+1
tKbpFyCB4O8ZTH4at4vFqR35aoI8p4eAWC6JoJVH1ccqIagLGCjDobKarEic3FwmxToygfXlzdDs
Z5CLGHicqG13hFX8k5C5xrik4pVTHiYIFaSNbqXFy7tAZvKdh76El54XtsLFflnmlAX/bQn0Yhjx
GwLx6tIf9Ty+7cbSL1e9HO3T2Pc6zCIHokrTae1ryTyApJ7VcEWYS+28eDnPx5YjNWwTGmwgl9QV
En7eOR47hplzze63H8so0Rx2dZyykwg1NRr3Glb7Om+a/TADdewG9r6FPwqGOzn5KhMBsoSdNRf2
dG24nJEDnUH384gXK74xnYGfOikk73UcFl4SJ8PsXaAK5AQGpYufi8EDQ2qGQKOvD54HZNp2j33W
pjUzXGe+D5l5P7uxwcI6N1p6InDI+DfLe3jhVm9ED6PHmIl1M3dP9mL5wIE4NN/nlYZHo4+1710D
yzzuR+R+fmZ2OW+4J3MauSzwJPMkr0VnPFh4F6B3NxO4ssazoS1FU6I+0RpDILIvXTlBj2LOA7Nh
qboP1Tea0lrxsvSFgla1fI2aUXNqQIrQG33tYOtMNpRfhvqjoc22Y/M5sbW8dy0Q9/eDOzH3C6C3
R7F/yTMq0nhUSbGQZPOjegZmRtVsZHxMfXbLOEPGjoiiwXaDDDvOCB0tPgjzIll3I4SN0aXkp9AE
exCPhPoxo/vqbBXdADU0prcmnuv1ZDvimFNQcc3XX18YmsSHbIi1T5MmwHl3aHpDG/Pomf1iH8E1
YOzpadu8Hx3eB11BJQTjle6JKxubYVAX+CN9lnSriXrcLhFAwsUo8DZM9aEaOizcXW5cSpslhoh6
h2Y6YBtCnOxWnVtk37XEdrY+FoM9NUwFVoh6oKGggkLHqvAdMeS7ls83YqKamOuajUFf6ze0reg3
ToGuRAFE4LZzsZ9wv2zYG4f3eEnnbcpDFG9CPG4mm9oOHSgQ3ITyjm+b53I55UeefMXOLkjFwNDr
Ar9wkXvz6x5mLapmPN/os4w+Ss3tn5vKtM7VwAQosCKdDeRU73KRw84ebq3CuLDzKzemNurfHXpS
cGEQW8SeY4qUau3SG+3Q32vpgpvQ5Quxe27hLW5+6HsFPsuKjTYwTqqXQlS7GVcvKwj4fmLZ5HtJ
O6fVVV+bRGwtTG7XbZZzkRYxq03iNlyRywBvYoXQFKOPM96hlpJt9/qvj1Hq1PFTMMBGn/c4cDgI
CwYSxPtjP3HPVPDEk3vpvG36hwk8UqM2vn/9On86/fBCOPLRMjj22xzc/ngEF2Hc9WnVAW/BJETw
Hw7sQ43mjD2SpuUr11ZHl7fl8K9fV52u370/qgexILicTGn7fnfq4kieW4xP5H5Kc/el04pmX7QT
2LrRi1m/qqKcL64bK2rNoHa5f/3q6DZ/enXSPTZ0YJcf4n374dxSITAabrUfmTWZKyKjdCapVZcR
IKt9F0n+qcuGY4naeZu2z+L+9iP8kxf8RaQHNK3SIP6zr2X/Mr4kyc963e9/5Eekx7HJ9BED5O54
h5riTvmAWqc4VD7pl7cq6d/1OtP8gOwHHArNx0bQ87kkftfrDOKDunB83VTHEX7lb3G738FtFUDa
JzGAKd0FA24jM/3xjtJdkS+pE5n3uJJV1RDgYPAzBj9nsOSc8KQdNXcxO4KvWARN4AyZdjFFPZOx
12YZ5InvBHk74UhmSRrXmotdXmhYRCcO1K2u8/dQ8EaKVRuqBPbhJDPs4OySq5iSqh65bfNWFGVq
+nQbq16wt+qpypyzi6Jd7gUCyyo2tP5buWgLUrc92jfQX+KbiXMXJ6q2G19EJOcXj1lGotZGzwji
aGB9aEjgbz20kaMDiupLb8bpSxeN8y2EO2NN6cT8PDdLEwhshl5gMbb4NjSRAbMih9BjgreLYpcG
H431uqJ44iPDxCX7xdr5Vp36/4vL21dAJBiOtMBa5BvvKc7FYtupFrbu/dIAHGTz7WykObH3ENWk
ZSvLrNUoySzEbeVJEwaJyVuTrl85AQEKJhlxOm88z6E1Z6EXZwmd+EzapHo1kkx7Kmvnf9k7ry3J
kSvLfhF6AQb96oDLcA8t8wUrRAa0NAgDvn42gmRPVU2THL73W64iK8sdDjO7du85+8j7ZMZHYKdZ
dhns3kCymaBkAFzn7UGMkWAuzfrG87qnvjDtA0XgGQGieBSJ2MMG/cpaPAx/WCT/QzvzRyz1py+N
Wmh9gRns6vDW/trPbDzHiyMdPir1XfRmrL9+DDPmld4X3RpX745DZnbIKqZ+azEXo++i9ctOmtly
UYPSP5rc4DH49qRu4srKT1Nt2g/RzJ9aU4jfoqmNq5ir9E0yOMbZRFV8a3vRc2wpsfdTQhrzahoD
Jy/0Q4oZdp9oHXKU0XRCIGb9dtFL3mmz18crfTG/Kmc4T50wDv0Q2YfZo8AD6wdoVc35VtmTQAvj
J4RrvBWNn50sq54+0wRACMTg6bPpIpP2IaV71xvgkRIyo5tx2PXppO5ZlPk1Yk0Wk8xTuExfOtNO
UqaizpFhnhF1gUGtxJjjqSFMU1CQNTkge33pRCDw6YOIJedIVfxKm75Ks0vJiPo8e4V4mYmU/e0B
oCZ3a1qLfcaW7YEMEmNXJVIeyEJJr4q+1y8/9FGvMsYLQE++nIDNUm7bZMkOMxGpfoCIU9xraa9u
ZG/wQAVZG+niLRxK69rU8uWuHCf5YiX4i3xuIWfL6vxgxSNd/+t35y97Fv1hPCUOYlvTMDFL04r/
854lCGeOYloP9wlS7jtitSr4XyQMMb3yws4d/IBsdN6drl4+yTgkfbTHcgFhc06+MhpS1w1CqVPb
6+2L21rI+ZOCabHXvCpCN6FVOOUT9iU/yMeOlk02msSR8Nuf62itbXvovRLl+Hbm9n+v9A4qnksf
jE6xNl9I4k4DtqsZ/ohNT7hZ6vzU2U1vbO1eExTlCLCZGozqusvr5e7ntWUg7Adp6syXrrWNs9HU
0Te4Ev3V00r54meGfKmYdVynMkXlVZLJmIAnrtKPSs/3bd1pJUNmH/icOQzOHiZ97m5zL/FuPL2t
5+2/fvw/UQT/d+muj99cB1BkTYCJgJvwFx0kbQGpxai57gGLOlrYGy63gK7VHjIaWhfUAEIPnFZq
j9mcMpW0VeM3F9UxDd57esrxYrIGh40o2ujk5WPzno8OabM+8JQ4WEmHb6QN8mXoQBvHNh203X/+
BfBp87EcwbkM6uLP70+15LJDXuHeF8i+tioz1HWLcGLXOhFRQbJin4naif1CrEUmNgRti464Qduu
21eA5iJS8Wj7mWKu303lGliZSJ9CWj5Eu7bwokdkVyuRt4oxZf/rz/5zHv/l4Vuu5TIDEOQq4Ov/
82efYJ52izXZ9+iDAHJMKDq/eZu5QnSwOp4NGMmXTEm4W4jw9j2RVOlGVJVDLyodTwT1pkgJRHcs
7ImkJ7fVHrlnkeSFWgsCVztUN4sn07Mr+P5T6aPC61GFfI8cE/xEqfUho2k46svikS3bki44kGFa
wWB0Ia5kRPgpQbhjPwzRC3qC7IBTzTtJHJDbyHOdXSHNeIeqRL11TgU3dlo5NkAOt0vlogzphVC/
jViyX4nSgjQLBsbYct/FNVLnHwZ1t0zMCtVf3jTHwhqjt8plqVMTqNufpRf5WvwFWC4ZgZrzD4cq
j06L6sQ9wryZHNXMHANftMmX3shll+lJ9MabN/7GLLXuIOujQXZxGlKInBbYAdrnJTsfoDUC4kSZ
P+qNWGh3I0B4Rbbyadbg/BFHqWM+CRl0nRgDxG3iTMgTklO3UNeZgQTx37wIFIn80n96EyCHUjPg
U2WwQDm4/u9/cJWyV5eDzMcWHiKd5wAMYYJccd2bi4kb6IzAIOB2whfAkRDvKMWad4f42jsEwjVQ
+lIeE6110TxlBeF4hZzIatXTPBhJKYM2FFc7hEPrcjVc/WNtKT2x/fcfYrLG3wPYHy30aWi6BLnS
xttD3iwuKNHsbenqM++BtWpjC7OIil1hYLcgsq1EuhBrKoTv4h6VVT6Rg2WQ0J2Q7R1oIt0TqKnd
mSwsWsEDklIApWyROS24Dl3gQRmL3Fus2oNbpGvJuf6upFr1L5KEKFvLIYEpkS5b35xfDDruIYGQ
5obPk5TYIlkQfmzxsmZCWgECdPcTh3gZduOYn2oikQ7ApGGUk0rY7pdWJPVFILfzA/xvyTPnQPoM
iww/49JMpkesHqoliS2J5k/eOjGzB3dNYDLZDcj4apIvzXcN5GTTWuBwXzvpnuKokqVDF2RtUZvM
AbY9CBqdr5uz5RX1moaGjJs/R/2wBkolKFYCz6GbucKSqsc47iUtZotTZzEy8yMxo3QOYsNp8iu0
sWv54893xOjV2naJW/2jLFDGBH1beuHMzq4HWrUY59ie8tPMi4BTbarrK82aoaQxDDZXDjSiZWYX
yx2R15ht6bKr+47a8kCkgU9jWS7Lt3By70hKpraFopLTKHMi6FZ6t0xbayRYwpNOmgTwvtzNRFsb
4VxLlblRcRf2PphzOtGRHsJdLr5dd7pHH88Ez6ZspVFFcCPevry8dgk+uBUlw1YOA58n48/L3c+O
+r83239zs6V6WkOa/vnN9vG3+rPp/u//xt8vtr6J8QLulg+iiZwl2iL/LUQxdOe/AOIISgSDseHq
n/+HEMV0UJuQYOUKKMuIKdZ7wd8vtsL+L4+JP9QpKgwkHfp/Br+x/nKvsjkibcL+sJRYfCBEoGtb
5Q8bJKxIbWzrmslcK7qXUbNI3ivmT0+J4hrIebtNqBo3qqxJsJ28Cxfg8ZVg2PahqbWHVu/kaZjJ
oW09l5OgHrTjHJlOtB/XLKWBmJN32k81EJdab5mBRUSk2DbUtdvKtWfzzrLSXJQbrSoMF09G54lr
31r0+kkWqOiZoedLDeU+75vm4jWd7maBThQ3pnD8Z32JryPKM4uM9liHp9hMXdc+FR77KzEyVVkY
p8RXDr5xgQJy6yY61LyEaLfm1FvggZmAVzlXL47jGZEGO9VinNx6Fs8WeRoIHZba4P7YW5Hy9p5w
Z/sIuBcT1SafUzd7jGaNoA1WPgdMyNCyfs+qyPuKnQwc+yIkuQBbco/0Ede9dFP9AWJk1oQ9H0Hu
wQ2JKw+3mAwGx0+uIg5Axpu9a8vdqGfZuF0gaHohgkGAizXzYDhYdPkrsz9gG/EIh/fst3mkHe6Z
cXKg7H2ICbHmxxqySyuq+pCJ6TmrU3Of9RNqudKPD0SYENjelnHygv0LUP8MAIHxyYX4IoI5huFF
xjgshkLSlSVvcVONPqaa2PkEN7Jm0U9vdEJkIKjFc2UeY5U/g5RDVOkboBM86yNO625rQoN7WGDV
ksahkbXKI9XMqt7YbkPCgZu4O4/4QhBP9+OSPjuFoJJP+yvMxtMGRvz1krQQf4b+rS7lqRzr6pD3
aROuJkC1cM2Vc4OjqNGNXdcut0lcYjoV+XOja2k4dFq9BRz820kr51I6S3Q7+TXiDV2RrEHNtZFm
FObzkO+t0TI2ahlvRMaVFtm04oyICi5BY3JGXdtdvJ5bq2tb+tGt03RXKQKP6T1j3pat95EOguTE
0U4/EP6qk+rmedu0tnZPp2V1F8W/IzOqb2ytf7D7FHE8KYt7FFHUy2mTHio8sgSZArI269nWMP9w
26UTdWRfSHYUSf4uLm1oh4nm70dn+l3bOfjdpK/DiL0DCyMFGBSK9KM2rZoRGZD+OGb47uulDOsa
+DF1+hzYCwG5to4Y28COvfGEejSwxMJ7yJ+1IjouC7PzUjbthtvXCyhWndJRZaektf0AtGb6Tbul
+zUsbpAZ/SbLJ4uze2yddRKj52cCJPGTMORDxNARl2Bai/Zd905FfC+tapuruAdZuMvGBWlyib0E
U+pwPxsjE9XCyptb2uX469uoS68b+BvUsalH/GzkysBgRPUoVyN3rxtLvE+zWpyqIe5QHZkEkYe8
WPkCybz/HIqWuVk0jrfZlEMFHnktYh+L+8ZTav5qETDr29i15tPQp9VB9Gi2/T3hQKmCxu1QlqCU
s3PsF1P/bbTQOTn2o2bnqGFIvudMIm5mZteSXaTDMr8WREe8QVacRkHHDfsBqmn9Cg10uZ9SrwmS
VhN7Jv58s3yitZE5dIpqdgmFwrwmOXxrmyPBnw2lst605jbyF8aG5KdjUl9escr5z27aAJ/OtHeW
1ItYUh0hBVmmZdufeq21romozMOuQCxUaekXhOwuTEWTPpddxlTEaez0Irp5NBi5LvAZjdK45dr1
1BaCogbJ49q8LOqT4RO15AKcGIe0ubdWDyxDHPddMOgM49xnRFL6XKsHYqQZtig6ktHqrp2LGcBx
BC2gj3oZxn3fXxcyqbf8PdWO4SGG3XXV5lbkYHYdSbVpmf1pJJEwah1v4fASiTHLw2To+KijHmx4
6y0eQUhOdTeZ8xvsEftgjaX/2Ql556o1c0fm5ngwvf7VmTNoZrqubYU5Hq3C8MJ8oDzb9EbTf0c1
0+1M67WrebATJmSDwegNySPtDXAGzNx2kWWwH3jzdTp5+c2i6eMF0kcG4HBgzF8psVGSkdXoih/d
T7xPfEttdBomgZ+t1hOj2yO96tiD+wtzNTdYQK1sfPoxcJhVdezh7G+cqbM3SM7uBw/Kf+5xswCS
SQLpUPuHVqm9Nrc4S3CRBbWhCEUhSP1zbupxq69ztcHQtLCReRuSisacyveEfPTTzA9NL5/DdnUJ
IZc6gocnKURrvlXrPqEqqbeLPw07XTbcZ2eYBhott21SqWQ3DKU6aXn7NebLpeij4cpQa80+IeVH
3l/dIKrTz0KtGAh9Biub9vpxQYp40GzX37Tk1aB1qlLG6sycNY/vDHwKmQJBuzd26/xawNCQKOQa
aJH6X6LO8ytq2WhjzPjMInOaN82cGWfeAfRWKZHfU55/D07h71Sz/GJYUyC+B3yyyYg7B9puRGIz
Zmz9uQ/Lv4FqoKPhuI1yEQWwQCTeKW/kcIeW5+jxG/nI343f/ubCzs3KpmAYlfVScmUIgJig//D4
q5bO6jYN8P/vjh57QEJZHpKKgFtBTsktebXZnS/q5qh7YjmjgOMxuPmvoaQkZzOt2bXT8cWbaw6M
3lyx61UwxgoPkfLY1520+BAVAdwlLZDjYJXOLhtdsAK+Vu2YVpVnYYhp28/wbEdz/pBJxFBBOFwF
fD7DlOTEgPqt94zeCDaDKfErVQtTik3iDqTPT3nDxx/7PHtj2ef9ZZUyPLaARzaTqc8PHYYghwj6
QCv8+G7A1nKL8j17czPngRneBIgtvrYYEx+QjMVmoJJshVZEPOgkTawn7h8Y6GyH61Xvba0lgnjU
Yrrnlx6nOVzact6kzujjka8Fvh9V2XSFISSIxqhvRgy2B31RAJWV7f2acok7QlefWRP1N4tuatl2
HJPxkDW9yRjaGVFCZDB/Lb3pR1J8Z/oP4D43kW3zRujlfev59v0061IP2DVh8+A/FYFtyeJbdkS4
rgs15jdlQkmgo9s5e3yXNkumcnqwN5K2fzCItXMdmw9NOg+B2+tnOu8ZBASftOy4PRVTEi1hViek
tcXmF+IX+6FCpvxpxBntw8VyICtq6aCODSmWsITzJBsw3M7qUycgAJfQIB+WqWuPEZvnBUkAePfK
uaWzAbkEnjqzdlGrg6EtGa+zM7pfUeyiuhPSZSBvpy82RgmCHlM77MqpYBphAiKsgVCHXUtGG1Ea
9T2Gzw4KKo/iGgCVRw8wwmTt9s0AeaTz+hI+opxvKi8lUAyUOzbNqYfUazBF4nPt+87R9pmdReW+
pUXwwm6Wv3DEDa/0RPQHyHLRQc/c9KjbExVv1DqntqLfsUk1SWzyDErxORZpNl+N2oyNa0m6k68J
FkSiTzkxQQVOZZw0QVIqmPv0OBqm/LHOuEB2d/2i+hfdW4YvRijjATa6f0WmY3+Du6d7Yj7REYMh
66wPCb0mYN5mTEt1tTz7XY8mieuDnB5jgx024J40+OHiNybOlqKZx22asR6uYJEShOfhB3+aIm9x
XuNcS5dw9BQnqzdYPguxUz39WEfFW5oEDlSqPMESSsAZxcrwAJaC2ZdMKu1SVCp9i0q72kFwKa2w
XFRxxC+F0Io8dm9jWbnmbWQ5lZjnFIke/F8PqmR7xZjyQB5kRRHWDh9VWWEWTtxsBw4mvuoqStKi
GiH59+VYPhJfQWdad8V+Qkd5zmrZ7oBYJGENgCRotKWQG7tr7N2ENPAOAVnXhfaC8wmWWb4dM2M4
l9UywN7MoL27Kr4VqB6xLblZV98oWm92iLFMbx3wzS6KxvSLFrk/S28zYLYj/IpyM/WGeJO77WQ9
wFR2cmYhw1x7bicPmZ+UMKyyeVyuIKxoKEYyY1ssTdWFpkzYR5VXgJ6QjnnoE8d+ER4WzXCZ4sY9
dDQijQ/E81GoaxiQz+k4YujkFe6yLUSOKSSrC/lGrrlQvpK+q89jrzWHQfrGvWKyB56+1QhWcJJw
BMJzgvnZHLFLZuHQm+mZnmoaRGJwvxlnWJ86lsdlQw+4z/aqbB5l7kfpm2EQ+lYSJX/p106jR3/G
Dh3peb9rr4kPzlBSght9ogVt2rnPSzbpW6YNi7X1ZZHvpJDLu05hfTUhC8fBXFwzadTBKFnDaWH8
eEfaUvOa0LG7nyYDVAjuxYAGbRPaiYEYyUhKMkpzxkY1LstAp224J0HCoBua1deW1RJUyGd8IiOh
pN+lmCZVRraNOesoztt5S9sVzFbhHrWmwg3Gxf2+j1N/1+W6eLctZR3KvGs2Uc7ORDvL27hwXvdp
bI40Blf1X4oDbZPLZPoofG3cF8K6MRWjS73qbrBz4q7vdYxtQsyH1ihaSqkhPudcaZF8IYja8t60
u8YHzfKTcsS0BeiOkaUJ3JEy2eL3TriNAJWV1PSb2nfLg5Yy/9MmTpJqcioPpRjoBE3XGDRlhA3W
EVSxihChm95cZrqUyWEgFO2i8gGaU1wR4Uk48o8jOfndNI51iSLGkmHT4qCld2flko0fLn0wM58K
lo5xXJf3I4fONN8x+fKvRxXn26xKnUOOG24rCsSmuqzrU6obt55HwIyUuEYQpcXv0q2ysIJhDj/X
aL3rXGs7EGl6vjWIo9lkhW++xXA5Nua0iqVLTABvWiPfWtPFfz16ezB6hr6Bhf+FZV9iQdOX41zi
6Da4eGKdRge/gXZbBHOOHz1zY2yVS/GO4yjZjiuVF1nVK/aZqySmEbm0X1VWvNKTXd+3Qa+3Q1+h
cCalh1kL4qEC98ApSyWJxlJFm5IMpYCa+ad9iQhnu6ryiBNR7bkmaYG3Rbp7g5TEQHRWesbvl9/S
f9D1cLAAxWzHRgd51VNvZ/oIe2xt/yhPNkcfVMd2QXp4iDNP/z1VXNGyPhsPpdUP4aS14g4nJx2B
piOwQfUnwuqyjY5UlrihIUySuWG04qD8E1p+Em453i057fY4bT+4r1GKYbefQ2vJymM1NCPwUOID
XsY+khv6PReT0MRnSqlHAhvawO169ypx0P22aqFwrAFLTUuLAGLQurAah1++0V4mUjE3+BSfK40t
LxstlN4OzgacAd5LotDXAd9CO60zoxHMqx9p86JpXnJxVc3JOdWqNzBs8jDL5KFzjG+TnXQ3zVRH
sPWqh6QW+BuM4miOlfUFS7Ijiawzw0Yrn5Xrmd9NU2rLLoYe12/oelB8K3SUcBbKe2+G7kMoWIZ3
oPGiX6M+5IhfxxHfJsjE+9Zg+ABIgoHVngbEtLMluTgU/6XBHUfZYCtN/75iwyIe2QRxwdeLXMym
XdKDx2INOHrenURFKbmkseKqE4X8VI17IdCxuRkdi8IamPXqGMlTwr4EKtTt6AFu2Q560lwjYPOO
/IH/Ka+8b8Fsx8pqNg8vxRLR6HTFbQ5Xg7E9ERdDuyfpISZDZ2DK66LitAt1WohaZakbz+AL6FSv
NIdBrL3ApoqD2R/IATacVXYOcSFKDXsvbCphktLYEhzVocXP6uHgju2v2FtOsKV1hDSNTjyVdol8
Sa1TIFfMWvfUGGO/m0zmuYS7FqfGpv3X+qDvKkp9oHAKVKfVnrt4vEPevSoHeOOj2d76qrpjtl2F
NGZcAqDApbhan8AdnGkgYiW9mYT1khqWxCqsNSFa1zSIC0bdid7E27QuDcRuXM46e5B422KdzkVf
b/Tc/mqmyL8bNOI4iZVl2l3Pv/LYoHPWz+bOzRFwZr35Edmj8TB5xE04ap66IINO9tuW7vjA3gex
wrG7wNVb0m5bmlG6kQVGpFkX/PMafZY0FdtOz/OD71QXkmeIf1xMawhFOvnD1o2NktxlPWHcwflo
IA6FtzE379Ko6zebYIMyzLVl+cwJjVaBMefae+2U3Y2rF9oBMLjEq+666uDlWXd2c65IgGCzJMRd
dOrQ5m/Ncp4/qLNYWnFDNnlmeDf1ZEaXpU+GTy11vuPOmBuMKxoRMbSh7xZlkbOTuhMUl1SfniBZ
DbdCJNZy3SmvxtjilvWeLuia5dybTbgspHwaNeEkoZOnKmxEWuE8XqBepI1IuC9E2jUcAXsMbA6D
QxqNj3NsP1Eh2A9tFNc7NMD9gXUwb51OGlyuvOeJuJlNk1TiIdYL0l4S88YzZPReqgpleRkRIOcC
Jw1hXubaFRNLxzwXsAU3LUGEV9QQvdrFDriRDhrocLJgZy4bp9ebbB9H5MbRJCog9dELo6Yp0f8C
ecso70hJsQOXfO3nrrHAObYeUaJJjeoJZwg9vnkNWJnZF/BGKd+8nrA9P478BXAq22F5GXLY5Sxj
xk0mDWrA7MSkXsyhGc4ub08b6M3Uk7BWpeelgTsScmD5mx59PhUTTv4N4baIhrt+rYTYZd6YSbm/
UDgDRcuHrD80XoLEWFMtRatnIYyPtWIMLM9UD/bQ9DSf9JyEIa5hHr+E5j8zL46/7CTO4hCUQawQ
Uc/z/ZyPKg9MFtp2adUMo0Jy8cY7X6AG18smHM3me6K8hh/Z3q1RUWD1HITmOMhDuxmmfZxG7Z2K
R/ECebQi+sZiw14627iVbQ30omhH717aHecpe1l9WywaOAorHU6QdujLlIvvXbpZ61/wWunXejnN
e9F4hs/lVZp3EsXGvU/SCCprI/KvcN6LD/I88lMvvfFBCJNmKPoLVmldsa1uSturBDVjkoSpLUEE
oUjmxBomuoIbs/Pj7JoOP9YbbBVmAXpezPaudyabX7rE+9/jdA9VLm+XWALIdOY13JE21KMODfKU
WWyV0IDm74LE4jeiDCnUFqfHqUiD6Trxffx8cZa2L4Nj17tJ49SNa4vDjFcq5LKTbvVYknmmof5H
fF9edYTHH8cJLmtDCu25MSrsBblr6Od6qaenPquAkmITLMNEI2DF6ayI7aQHGZK3zbU9T96hTIx4
SyZ4s4dsawVmQ/AQpsapv3hFab7SvdU4xKbmUae+OzN6nnZDT/VPO9OlS6Ml93OSjQHcLBhCzDKC
uJHlZej9T200DGJzyujgJPAFtHkxLv7I0jAzkWzTdtU9Gt5tpRwsWrM9nhzNBQGG8CS0yBTkpfHd
gH5zd5JkpF8wVuZn+GYflaeM7UgM7g6q/3tM6ndAsiA3A2guycaISnpl3fyspWa0cxG3oCAEzKnx
ou8TfH/B2M3imEtsiUGdV7Og0QbtxFRGiNDK3RCfRy2LquUtJacu4KqwIPtSDkYWQw63nlvTBzb8
oggrW4zFvbKTNJwTDpuMTHoChhhnnzW3DSeb8Q09VoNKo052Ru7hFcYTxhyff65Hd9JU882ETI04
q/zZl+LVjNmsba3appa5hHRK3n0iYDZ+zMBjwvqAKazQQ9xE9U4YuXWYLIT5cYY7EoJTbdl24A/6
svJWb8wkRXGXtS+NbLNbJwYYr4kDhVW/Hxdr/KUhuwqEqb2iMNd3+kKFrFot3TcjB7XyhvfSz9q7
aWjvhloU80avvTXQar0IJoV24zFZDwj+TY4t1M2zNWpfluYOFyJRu03H/r9JGYPR6PGt136yCSMq
1XlsGnXsivblf8fW/18IBeMnEuifj60v6Sf8tffqj5Js8bd/6e+Ta0/8l8Vc2vUZEPsu+m7x35Nr
HxgCQ2v/RxKNbfCPCAUygxlKozz0TUdHyo0s/B8IBTKDUWrjxbL+wWT4DxAKf7WkC0QYhC8RvbTi
DP9fk0OrYBK3hWQJNdaIg2OMy1QdKAPSfZTolVNCwUR7eM5QwE5PqcKarpo5aZCu+bi63XSshBFi
hjWxo9qZs8yoPy3g5lexaLFKYEdEe9JWspP7PwgE/gdV72q/+IMkCfc8HxhxJoN/lIF0HP88cffk
gM+oW7orM8YuDfBLC+wJh908uvr1hAv277jNfxqgbP6Vrc9/0tIN3PCrcMDh1/yLM0NLC7PRAH8z
pCN0sifiLijYg7GrWRbqF4C9WnvABNq8+RgDWxUM1uhaVJXDGO3sODHqY+SmyFOW0eWpVMDll73o
8a8TTg4+vq7wtCVkOD8WwuiXvRVV+C6kgesjRiLGiDxHp7tpu7ZcViYp3rB4qnjWmoOFtFjwHAsD
BzdC3NU32K56PD+JSJnv3IjrxN8sHTTnpEff6YeQ08th2EUSMem8ciQ6w+QlIN7Rfu/MEseqpeFv
XPrGwNhYcwa4cToTS5/6zLx/nPc6tscubJNYPMKjxpuW/vhEZJe1b1iXUFo7a8g0SilPbU1bYA4f
J+xsTo0u7gY5EiaTHycrp1eintCkkpFL7SSMR5ElhrwSteWK6yWfsH457uw0r8iFcT33Hfd1N5ar
xVy49njPbigeNbMQ6oUKRYFwED1PLkWuhUuxr1V97Bpv9UB28LaCyNH4TxfckmOGFzmfTiDaKgP1
w2PAZovyImIi4mzqrkIDS5wu3z/LK/s9m+BjodfAljn8GMonoyvDNnXuEmDoS6DTZuJaM4OH3zhW
38vXZKrG5oAkY22o1jneHVrSPJaUuLWJznffLg8IpPhZR2ELxOSIw5LTsv4kyCWA4bUpDK0Jc+aV
32r0VNOi1xiSYbW+JPG03GmenigmJixeUA3M79o2NfqtpHZDGOevDJHOcSc35HAttlZExjPXPiPb
oL2cH51eAGm0fUWHMKO3vVnsoX6Ps96+zHPsPGsjMUjT2MCxNPP4HVVeeiCukMop5Xb8XsVAzBpT
zxT4OF7ZZEJhP05j7wVEp/LEyyLKcWcqh5mlTZ3+DG9e9neo5wAV2KPLawNwkcc70Vvrbpj4wR1A
94ygBflCaxqABDEaMXnNeCPF50RHfEVyNtbEPBmy8ht/LLPvRqFxT0vdeMwcGLEBfCv7XYqK/g3o
aeNxFusvX9CPcjZA3vlt8wnnyXZxEYbwZFhcblaxKPOmnqId0JdGvv4wFZD+sBC0xeUBMxgWzh4x
f31lg4qgVahkdyBuos53WUQguWXa7QE286zOZjXw6N16Fbg7CoE99ZPU/O3fqASuT0cGvltXX1Vg
6rvHfFk07Vkb3KU996LTOjBzPp+kmE2234Xy239KLb3M76Mx6+iPa9xWohH79zJabBDLvAJToLbw
LJU+4c4j6ZUH0eioWSNmK2qH/ZHV07Qu5tifFzlXGj9cvVI7mC+si6KnrYWokhsoEXUWoZzoopFO
eoaXOK+q8AZxk6EEaplaki7x+YPESRza+PQlCWVGbhRn6gCsust+4Sand72xh7j/MiOvz186dgiD
a0y02B10Q/TCHko9LfK3LqFh3Rb4Kn+Tzut0kq3Lb94XHbQdAIHqxWOMkv+2STwQ7caamfFvS3ps
4gaaBgt3g9gpdo5RJda5ZF3jcDsmwlw6SGwuoT3gqPVf1E1yk6axd12Zuv9qjwPj4sV4cBk64oEv
6+Fprmdtm/cyCXkxVmNvnBzNwqe2p2+aQ2kcJwzNxmyHiVvaB01OzkRQPQDq9CXGUS93VmM7sODq
Zoa9XRCN29COfAYEKgKz1H9p1Yi/FAkCEqiqh/M3gUs0chF/FDJyf5OzGXHZ7Yj5xEc8cCUlBLTo
1J1Tu/Ev5nbVtuSQCutKmvdeG1W/DNyIO1HpcRTQcLFxDrjdLVyPPHC5ioBvhxEOeDwunkQmXZQt
st8tGpcXbVQqqDp8BmM50dMqGKja1jhsh8kt7tjWm18Zav+H0SpuJ1dX2b4DC7pr55b5fVZXe/qt
KKakUzxNpQW5vyMr/YyW2yCHtl1OhebnO6A/dG3bictT4YIzTkezfuTQaV4rm/FJmC1yjTHW6xeg
MeujLVMfkadN99phSIuHQpmbOB1xo6Jl+WauwJ18sKyDAOpApoMQ1/jaXfC70NrnjZopB0KJOvqq
lfRBMKWg+c0Ksz66iRK72CbZIaqbvQ6IMQQh3LxmtPwnTqnRAaoSGSOGC3e4btGsPfhN4iCkXTDK
ar5DjKsGimaeHedaS/r2ig17PuhVNR8nzfCPC9CP7Sy7Dn057YF2mOGEVNJ5HNNx+dKBADBX8xcG
V51f/Bt312qG+HNJ5LqoS9z/w955NNeRXNv6r9zQvDqyfOVAg3sscGAIR4roSQVIkOW9y6pf/74s
UO8RYD8wWmPFjdtSiyDKpdm599rfMlmMyEhoqPXPIsSmKuwgzevwpHogiFQcwJ5PNpuQY7QBmNex
ugiZ5WfvB2I66nl7VZfeDNRUQKvhGr2+qhMusR9PtHI3VEseEydhYah7ixjj/eu8wX0Rffm+p7Wc
oG1sS4g30dcYVx6FrCg8Ua3Qa6poWbNLBVFDhSwYf/9ivhAmrxMmlXzbMkYxir4TgsBTkEMXqKrY
Oe+AF22pWv9NDBXPBW8U5TaxuDBpbX4TyDaR9GtDCe9ke1DFSpqujy6Jr20X9NVF51e/65/+NXBG
feVZFKqlwMsqeIMWM1FCVmVeUFnTzJGXLaiMAb2Q4u00FyWZeb3vv843Pc36GSG+IbW10MbavwTr
cxE5PYVn50QnhhjJDqMwJCyhEXFDWpk9EEoX+5FBCTfEVyBl+3j/Bn4dpCvUTNIeS8rRFW8euiqd
Rqg8g+UwJO3ZNBn2uTKn6uI/uArQA4kLpaslya+nQh5aUxkmnXeK8Ns+m5OSnnkN5/j7V+FASS8G
LmRMvDdX8XrbQhzJs8imgzKU+PnWUhgBvX+VvxgmrnRsoXt2A46bb95YBvMYcWXlnizkhEfglAyK
cZ7A2sxhD4auVtjMv3/JX9cv1nQ9yzFXoxf67aQrE5JOGPQ4J6MKvc8mcprTIkZCkSEHMF8GM7U6
r1sYIu9f99eVBdK/pCrM00rrlxkBFYkCY+1aJyq1MLEr1slecwuWFKjG+5f6i0dkcGDESAyOA/nb
xdLPp5ZLFRYi1xjlZQFIYOmgAlHzZcXWJzhIyclv3utfPZ/HFDQdgSLJXcXrP4nTR5GUdkyX4wnz
o/asLAAI5iKIj43Qh5/3H3AFBLzeDoDpIeV1HFwLNAXy9Ryo4qANaA8Sp6XtZLBJzcKdECyL/K4e
l/a6ArtWbsKZMBnmCacKYq3uemxGFR4co3M4XFQQayKrezZj7FG3wUJG9ybIPNy53r/VX0e4FKQ+
LMmKhG+u9WZDwVp8SrBYZIQXNhdKwqR+BNrOfjmmDkMtlYT171/S/HUdksJnVrE9y4Ba55vFPsrJ
l4TscSd61Yh1VWBzfkCl0D8HrcmWqUFZjPcUoFWDDvdxHDUJz06kums6CyhPEw1LcyBKSo79bMKw
ef8G/+qdsFIyVkywmmLtx/xpqIimixdMntzTiudLhZv+aUaGfeqo1mFD0YjfpXF+GZua9shsIJXD
EHXeXrBJOh30z8tpdELnqRMpYLe5KRmmSnN63n+6v7oYeSNbkKBhqXk7NlGNShE1OM4oOoVv6FqQ
l6Kj8Iaqu+aU9P7FfvnUPBkIERpCaCJjObNeTwRKXibm6mLG3MzlYBklPSOLicgp8f0Lrd13r6ac
x3KpgweKjWzpbyOjnFS0gpM+EUG0cXcjOMMNWyPo+uwjvKKlu6gpbLd7J3KCS/RRheJE4tuAsXK9
DVaNuovp3kd/OnFY2nbmAq7Qh7EkDI9UFlkv+yBynf2YmozD8WRF802PMwO0pPef5Nfv4yLGBjmr
TWnFL6FQUs5B7Rddd7IWWjYmdL0XxRQnx0j8Xfinxec3GQP0t5Kw9X8BrFJjtvpRIblr6ec5D6yU
52+qBhcgC6yJU6rf5g/1tvzTV3LY1rSXreCfcEd/+UrlUthm07rOyWuU841+5/FEuUh+WhMint+R
1WmoxX+sFNSA99+r9XaIOFzZswHKcGXsdNkDXg9G/K77xJmS9IT5WVYsO5FSu+2Os7cMtrWdVBh8
8cwsc3BY6lABSw1DpHQeJcj7MZvbWFY634kVLUXDN0tU0/r6YEFpb0EsyjhqC6Rsx4Hff+OjLSv5
TdRdz2iRzTRiOrCrWxfo4KdWD6/cYDM44roFNJpyESVhy4OcCWCB1BjqSPJ+GYmjkEa+kSYgpG1W
duUKjQATAJtuJ7IN163XG0flJN5NNSMFPVYYqGzIYpcLUKjGEpekpUUJbNAdJI0FbX2Jihxeh0au
T7tqbhYO0EtymoLE3Dpj7sKBH8y4kYDMGvDW5L5RzdB2vWBDwpwxU5JHQ23m5jM16YykuIE5CmTM
WidD5yiLb0awANHeN5qlOofLSdJbtoCEzl7An2WDjo9Srv8j+ByzkMwLbaBsNk3NXItLyF7fyZYj
ecvMqOXgTmVMQvsODHUHuJ8ORRvtenWZRc3YU+DqSOtaVLLhAplFnd1Vi2C/aIfebA50qqk7RG3B
ZeR5uvGsNrtn1QmeYrJpn/5me+XgXLUNpjMUYnM+sxIJf5FHhzA6cbv3NYo1uc+s1Lmkm4rQvaoH
cnNJ1mfY2aE912q7mcwVHQckwgOsUe39aIf8xsGLQ/PLMmnot0oH414B4Ftgu2rymhSlQwonzm0Q
uMAx3P7OhAwGg4LhEmPVGABzMWcfPzf6OZ1zRD0dFqRDD5RyqfGkQOrIEu4uESMIciUHCcufEp9C
WWhO57GiIYd91RyT6xeSalAP3XJUOWfYjZVIsowROur24YUxFyQuA6yMA8+6NpKWvWGNA8jZ6xa0
yCPVEHsVeTOMoewZi1qhcEZa5kp9lz2dUStM9SUF5+YDN2MjjXpwUst9SiBwhPtu6GCBvkwrWuiB
V+o5M/mAAp/KFYI3ubP5YCoTYiTZXgQ3Vu+wjLdIVzqAER4nszh3ea9Wp3PmdtoNX+akmsaDSqgg
vJRmgP88ha6tAwk8R8nHVb7zVJipzsS2pOexA+D4g7iODPy6/fkeYq+bmNwVRsAIIpZNJhKVHqog
E90FrW5M06I2qDTks8OLdcLRsQ+ptKLkFj0uN2IKcie02VvdHb2+jfpzUL5tjCR63Cy7Cyqphivs
Wk3tIVw626GlhfgbwG6GbBo0lnM7m5DNdvFMbGwz/1CusB9TBkBCEZOuYKxA/0EwHdMd4P+LwDwD
5YZkoaqpvyZjjaI6DJeC3LyRu+kpbzuy9XNuT+aBDNoSkJLA4+FUCKFItZEh7zV1cxlGfB3XZfa/
7b2/a+8l7ngXNf+vpy5OygjD158rpfbLX/tRKaVO9gdceH1Awd2V7CVHpx+weULzP3wiHDzqLUIG
eFB9/M9/OJjUayi1ZnczAV2bW/h3kdT9w3XoH+dMR0ZKQ6/+c848mCoU1S9u96yYFpHq671zqZZm
MLqBxqsxp0KD7eeArVXXY+01Nd2f72/Vr6OE9WKSNmdyT9LxeNw3UWPkKif34965jUmPPq7Z97kf
5acsod8AhSHFRZp0nSep8///waVtQUd0oE+obxNRiZGZqkeHfbuwpT2WsqVO8XLi98EaPdiBLrp0
otUxYqhhFe9f/vXRQz853dMWrD3yn3y4t5e37CQqJUna27zQOP/A0PVogeFZfUoqfTlVBL87jr+J
i35clKFCMd30iAPfvO4Sv+YhqqV1CwHVeijh9p5b9Lo2B46N8tNKe3XWSt1gDqzDIAH7Z6+GuZsb
IHK3DV6gx9rX5Y7OaKlGLAukVI/GMsoyeDOZF2Md6nLdQrls09UmS5Oi99j+zVmDufFTbPnyGB6n
bvJ6LueN1U7wp2NbMAU2y25sYRiDmizDl+Zc5QNbdNCxD+XJXF0ojSh+/4u9ZgX+uKpkepAd4sLy
zWHWM2gkV25LMl2zcNGxJ3TClPF3CoHI0Uy8AlyHyjGdbjRLrwTJ96//+riwXt8211M0aBLatN98
vFHKMmsyZd6+IMv1hEEQS8l5bMzfcKBMTTj5f9H7j2vps3tARsz/JekWzn5fCjGYt44+ixuoHrPD
mNDlTBeeTViVOc7TKIjhIkGRd8tpjMlipD6hREYvxN9/cFs4rJam75KifvPglmNUsoEQdDv0mM9u
HT8kJESTSHyW6EPt+1f7q0nis+wxL/k/332bKMHYWCSGPVq3bYeWDlk3YdzKXV8p/LTIOsi3O8C8
DfXsDZA/87rAzw55copqhNaGBeaHlihENK1G+zUk7bNRvigIAJQR25RzyhRHHqimk4yxkPnNIflN
Xmr9gL7F9xOgKGzOYG/yUmkehUNAe/1tGKYYGKwH3HXcqL6oH9u2MLZ5MLHuzbzAlSkcJQtJgW6G
YlavdP8kc8jALJSMW5wVRUfOBunJ+y/7L1ZBzbfQ6hZu9pcUhYFacvRop711OVXBA9KQTbOm1GEK
MOKgj383svUO+mpke8JlVLPnCg6Hgfk2KVL0kZWKbO5uV3nBGvuHNKc8hdKmrDIIW920tkdMGyYh
QZsYUxJ4E5Xo+2TIqPbaWCg92xVuAqlgBViTBolNqsHRY2J9RR27hoeTgsZXj351sbqmrHG95fNA
y8xB//3XyBO8fSyehO9MNcyxOHu/NdtYgkz6DWKV24ppvpX1vLS7FMnOh8bOUTKXdE1O29Qf6ZCz
XADdW8qLYXyQcUTPRc7vxlkYmtjWSi36h4veP4zaJZ1zQDeY2xJrZhsNgUujI/AJScE6ngwYvUXU
74RfVe1mimYNL5YQh3Yk2pgZKfj/PVsA/qo0+VYbJ6jL26Hs44ugK9JLqwiq6zENkTZy+sEWoLZy
4zOHoOyDWc35V5F1FFWJA+hvmZel5v7G+HnGhtQ79TMVT4B5PeAf6Rb2prHT+qYRMf4S9CZ5VFiq
Dgi0H3NuGX3fqD8NZY5hgB36/r3E4klsGqyyvA1V0waquhu1qCk9OcPU7K3gC2Iuuj7KgqTS2aKW
nhPrMDjtuQUa2jgPyT1fWtFAMrMewxOkT3k/T6NJdyhmcu2tMUGIATPely7NrxYGoVCD6/rGj4qc
1iAJTmsXpFhBRPHAtpsxRnzIEtHGw2N138B8j/aEBkgE0EVxd5WLrgOAXrItA1YbQkAW4pEy8d1L
9Wr2Ow4OoY0oLOgQ1m8Uh3f/kk6abGBnNmMTrsCCdblfn9CPpfOVZ1fNpaFgZh6iGc9FhO2JCs7h
m8TXWIb0XwMwE3AQgFljoJW2O6Qb0XVrOe2hxc0RYlT9OAmxfCaLm5wsmiR3YCdRQ/eYPrrwiI4g
1sIDStnqz0J27ufKNlwI75CbGCjqW4SddL8BnlXuxMDn2cZhXx7bqHZ3hemD+SqiQuCCG5ZK0dZv
GDOHu/6ZspZHd3ES1Q+GGyTZxVgGXeZwJM5l8eDjCSkkAyCfK39X+AXnrk0/ky1CuA99m0x0hph9
slwE9k5iQOskIz57xS7ITFl/hmzm2dxulqJKnZu5CA54AxH8LNCW6VHmA5WwVi8w2yUYYgV3npqA
Q+2eLmkQbkUU5h8VpfMRDgE1I9ocSO+MvkbXI9SlqrRKpGJ8lbKDUzY6mWL6pBxb4JRbz1z4qHAq
jK0Q1K8nOTG8ylXSA8nvsU2c6Hbwg6XfLjN2IaE7TWRZBRUq/DRYjQqsTlazosmimtBhdXDuDVR0
DId1yHcKnH7amH6nhhkabLFd5NfPjbuKT1zcZXyt8tJ1oAwF5EVWgqRthO6jpVVdXvakIhLwHT7d
+Lkji2hnmsBbN9FCy9pmTAh8KGLzPyw+quVD4PJyWoudGrcPXZNvIdZdo9tniVlx/FGjPU78St1Z
rsemnqDMuFnXSGK44DJ02UT9lPpNWAXdM0lsXqXU9i1dN/Bf17st6DRMN3YDi64i7MQ+2E3mm2aN
RTIKa+2Hkt7Gsygazeth4YuMDpHhbE3mw2gCdFizfEPCccPOU+thFTNhPkO2ZTW4mC3kVGYx81BM
Sa6UxWP3TI1Q3aX6v71k8qKU6FNkI0Y2unYudXhUa2R/I6PmMc0otmwVaMa7NVBYsgZw/4q6thTx
fdrlfNqGm1Ewc58dG77hFnEkYnZ8qa6F1nl6VSiuIRCSgmMY8e0sfbdl1SA/6EhcrootslUE4ZVO
6bpmVj/CoWE3nzOLsktoSaL0tZI4Vh5YAbje5CB/ZLiqCeFWY6D6264BDl1lpMCWtH9+Ofys4Os5
leS+SNc5YAsgQODmUdO3dUUahyQ7uJmnmBR7fmTb4QZrSyH9CoxySve0JoRfciMmu1muU8gMXdKA
o2p1GMTO0+/a6TZwJix1ZMc3qsOA4I5/lVB12n3puKxtlT6qZDEaTXM2CQx0FtvjS18jCfLPeZzq
gvZ+744OfaASWAFyt8BEdO2bHRcKEHE5uKhrQUs+jAjc7MnHjISrToCg7oqUphHTuxByBjQ9lCQ4
US+Bvafgwc2ELgMYgxbeWY+QGXRR4j+kWUB7Y98I/CJW+wpaSd0n7ASJShXdGxwB9CKQ5ba6ozTO
W8mzBJ8KrW9sJDOs9vTli4lkVapnfd6bFORosrpY82aE+81ZE9p81QR1yQ5KjX4PEzI8qQ2OVrWp
Qq74RPM+81XkiC1fJIYRdiCXbdtxJ+tIdFRKhhmxoR4bxOh7s81ZfBDxRt2NVJTxzwNsInFcaxyW
JgsDxbOiNeWnhLZ7OoE4jnZ7Gkt01jGA9IKKMiruSTe7T3aaolw1tM4UfT9bkwrMh8nW2HjbotkD
C+gUtyHoKPWjF9VM9MacsIvSCfdVyYyUihWorSi6rwfeBduVxwW12cMYcURNWLrFZuJI+6CFkQ+o
KfksvY7SlmDiO60R47ptzotgRNW6yGMHMc++uLW8RBtnYFllgSLU/iPrW2vrUcldOpn5smv17cQe
T5ElVORqOsPtbakZ/3kG+lcsM9gn315sSM6AYjZuF7EcJVgB0CWiYfBx17q0jDLkBwY4flFxEpIU
nka/QRLhIoR05ZC7d6qdaEErgSBpkyjhPjlKryz8tPxUKjScORIvLKMqOFQUU6ccgpXH386H2Gru
TWFNDJEw40Uvelwl6br2KSo5xyoyWeQJRSJ9JKejbwGiwJhYX8DLWqQP7mNqsS7ohbWNtPp0Hbt0
X7GtrQoq5SfzF+oV4e06PknHhseURMBxLBsnu/KHgCESiKE9w9VoPMXR3AY/BgQcg+B77dMOvi1a
3FcM6IYYQmsjNLQjD+uoeNGDQl7BcAVHq6PZlOgcXa0LzjojqbZeWZol/TIlKxGcXWNLVYMkROtq
15dEP5Axab0lbXv5tnUm/mwmEGp3nD3Na9NBBMaQMx9cctfTzswjZhZ23eww6HToGq8ZNFgcsNrb
ifnB9a3llpM6g/qlgtjDgYOBwPxySPcXuyr0edl0cOrtu095S7Y/MW30BgS5LLLnaVuPPYtCFbUo
3hsjQDNbrh416dAzzexm5rpQvdTdi88XcHb5SWqjnAi1LyYL80jn1WQ5vbFLnVZpp3qjXu5HM0B4
2w9jGX8wu1RU5yXL6DWoH+7CDXreB8A0Rrsww4VihDsQhERGJj8JnMZxfVL6eX053Tg0z94PgSo+
UCf7GhshTj50s565OQL+1V5mQr36PYITs/GtBlth+GdwSisAo7aiCIZtGDvSnNCK3JPylEQos/cp
S8neu0nNKle50wKKCKT4QaBZGTdRU2EaPqriPKnr9Mp2OtPcsmsW55zs1VlJz8+8zeu6hM9jV9+l
yokX1vIGaGlGWNtZkGOU6npxavTif4L9QCJSxjExFRRLTjB5mZ8bFaJ5erqoGjR5OBn3UUoH3rYt
av7ZSJOXZLtQdMkAToCWJhacdi17jsQ4hQ7pmjigYgTP85jTq7QdGhRS60F5FTtPtmSqyrihUCRa
qi/hgpQ7syriAyecuFO1biZhzLq9uEmVQVrTFh2ZrLG203u4CbbiUxhovd56MIxEVNanPE+xz257
1rTKU354QT4NE2ck25cJENXzqZbmdaRciXFN3z2vxWFII2DzGU72ofQs9k96SBmtRcRqtermR668
XddNmWYsjphs2vtVWQDqmUW9DmVwiQk8vXthTfpqUk79mAH62VS4PD+1DVOox0PpmIQ022P7c/A0
kXCzLDBFMA6P4zOLzrRvzuhRKaHbkhnXG1TyYJrLS+MlwmjwSzHYmQvavzF19BdMvjmwqf6s43wD
RGVojxU9GAdoirCwgq53n6jNmA/w3kjZuZJViTwPr8RPEWhT6LA4SRQeG4s3zt5DTMYahBAFxdUb
sV0ivRysIbMriu84ICkU4GUhDlFW+MHem3vrwJXjh7gd1EcVe8tlTFP8R6A32a5jhrA6c9pZDmyI
urXcK0BZzE5t3OAsUykao2UZ7O3WVme4QBtfh9p2nxEIL9/AIIzgB1X3abIm/CCJqywyF524NAnK
jjnJlc8anokHYRjS1ts0ZdrsG5wwT66tkuvER8IWpV7yr6Luo3sP3DANNEU+77LOFcc5cOdradfh
R8i32deqmflN0PeSjkgZUOzNUhqcWHMRTVR4e4goG1yQf1h4/rfC85sKj86l/JSA2T31T//zbW2h
u34qvv3zH/+bP315Kp5+ru68/JV/t8FhTILG1aSkYQYmEhXSXj+KO0HwB0V3izwNEgWy8FrO+KPC
Y+MkjAqECIaUNqq5nwCuNnYmloOIinoRQh777zmTvJHqIDnxkKBzF4gjLPK7Opf0U/o8NWvL6WzH
QK1g0FbMir6cDdLpHn56Jzcv2eL/gRdxUyVl3/3zH68zbWufX4CeVlspo4ZlQr++zGLSjjMuo3HW
LZzbsopGWnsQwYdiGo3fSWle5xHXa0k0XFpuqzvV3go++BZpJynEn81mJT8w7cYrFDH2iR4kdVNj
lhhv3n84KjSvMm76kj5aLpKI5IoRTgudQv/pLdKWTUeR34ZnydyGZCrY9i4rmuarTWWQsaGFmQSP
CKjzHcQQjTZ4izydj8QmQEwbN6IpahwxDIPKRlFFL+eyUgQFs2zhiqmkvWxkJ4/QCORx9VMsWGK2
ZajK09yaxW2e5ZK6TNt/pDOtPMkRtxEjLJLrcO6Ta9p4XRjdWOwd50awF0fdvG/6rri1DGf5Jomp
PsXYlH3y6+hKDHOypwEChGuNaceC2foV4jVPNzTZw63VDcX3xV6qD9gmph8tEkIbzMjyg9vE5dZM
MJgfqnI6E1VYIepprGMwglNrm3na0+VWa6eO7oJcVnVNS9pERiCznwRCuLPcmxroY8Z0RsuCD/pd
yRDsrWFVXzvOFJfeUqhbDr3xsCG4p5O8DZyD6CyaqTNDTtkOSZOPawccg2jqHpHSu3N3GZd1evBL
X4K7CxnnW/KC+MYLuyi/DC0ZF2Ln4F+pzKw7GQkJDEZ0WLHArEG6I1u/xEEMJh31jISNlhCNdCfK
xS9ZjJ/cNqHh84PIR1JqnhNVl/4wDaAiy+lTMC/5NguTdmdZOWMvpW1/4ySp+yGxzbtYJQLQETEV
mhtvjzty+1jQ/X2olOgPweiRIFOQNJ7booiPcRl/nTX3N0KxfBHJYKBbenHjYt/xcmKOqFcN5dl/
wW4G614my6VYwgBLXOBp5145CmOXJSlMVgPisgPDCLiccM5GmlL29pxkl0gPh2dOX/2XzJyh/iwR
fKu90SfyxCvodnHofW36fDuZU3vNOZ1TrZ8/c/CipT5zLkLdTUNG7KMkdmeQIlc14EBsFqNQ205B
6qgsR2xBaNFkVvcXqdE6NueMaN56IkifkCWH/LD/px0ONhhkD1IVoKi7kPaWSw9Zn6umCQQrsmKG
NrNH0R1/RRRk4Ro8flMF/ZFua/RXmVUuX3qFCyFf1v1Sqyz7kMjS2mVL3981sGm3ZR/cNY1M9oO7
fDaG1r6mj83ak1XurmEELPtJetN9WcoBkK8cIag5tzip/ssHw2udJVkwjQ5WYGM8f4XrB+4lHIeh
2nlUHIFXIuKzNIkiHVHzFJm796yBRqQ5b4g2OMfN6hy+OlwBRCqNEBusHaPlU9ZNpIppwUEpQ5Rl
VM2O00CXPjhtGuDcRxlJBeNEP2QPI8uEoLhzMXOAjRNmCcQhMiCcSoKyPAJY8nxMBJ0oINbJLPec
cg7J7yQ35gBkJA4RDu3yvUdQNC3R3Zi5/KSNZ0V0jUAaulBVtOVE5yotIDbuR4hiL2SoTaUwWJ7c
R6uOB+ILUWL9sJ8QaFmf0mEy3EOjWCOffe3juokBDBunbK6job3PirAsmqMpu+zRcOvsXo5kblqB
Xy0X892zUWCS5EPCbrehbUGwnAbPPrlqBNE/LeM0bFwjlkeXw/hpssIG02/lnlkFJVh8kGcYGqA6
SDzE4JA2HZkyYrfQC+/neZi+ehbwMfrJyvrgZDqTlmNptRmckthKl4oJ0spTokjW9eBtMTdu4IFD
IyX6bxyHaBfHDcQ0Xlft8jYp96QR+m3ZCYBmxoyM3QhD+ecqaG+A9t8vnQgBDJbGAKFknIpbZTv1
N8zJyBzRHhEdMssh2zNLdIiDF+Xxvp2n6jwQufyQu4n3lNN6AOaF3mpak/2C6gF5+20WFNwbklT+
zDX64rsVYEJi0yx6k2d0nu+CpajuoyImBMZXewBJXWWYWMbwLtat7r9R4G+jQC0s+P/jEIgCu+xN
EKj/xr8VPpb8g9MnXVOBT/Xa02HWSxAIBugP3VsP499Fjk9Z6f/GgL75B7VCfpwKn0u9W8tCfqh8
XP7IRSYTcMijrktr0d9R+Wi50M91UG6HrAgAHM8EhcD2pSOqn8KXwB/nohiE8y2mQyP9zl4SYgM8
4YDW9Lu+T635E0XkpD90s50XZD1m1/2KTLguL8HbV411qA2HQ3BG3z17JW4W2p40yDPd1i4KI2VB
dmpv8TZJCJLHgFY7Ns64tfNhpsuV/BVSSNynax9an4BB8xG1CVnZnM2ZsrszywTF5DIINzjaHcw3
dke2UtliX6GMIDyUY9qBKJ4h4JIk/+lD/kXoaury+E/6B9Ct2F+BK+P/XbbQt28HIKXJQXVxv9Xd
NHISLSI/pn2VPYzQSEau5JLKTMrie+O1yfxA0z4Mn63FSsnzlOYUqY/v35L1yy35dEFRu3ZpWKBH
b634//TBcFbBT6Fro2cTV+7sCsB6lJ0WZ8AOHIc1L5no1PUTyizUKepgoOaKIaAmedVV9lSpbm6I
kwbXQDMoxk7E+yWMFlibOWrVbt+jaCUibL0QOzv8mhvvelky8Nr7gpOB22xABQ0wnN9/qNcnEccX
vGQiaU48yNM95sLrQRjGmUKHlZffBAgL794tE6O6o32+Wm7ev9Ab7Q4Xsm2adHDN0Qoarvf6QtDt
Grl4Kny2+dqmva9JpTpiYwlmuLL91PkwdZVrx3Bq3dzo8cqK/PGOnbZMv79/J6+PDfqREQJaWn1A
m5n3i9+paUezkCr1nkeo6961i6i4B65VGAhfTsRj4Ep/85K94O01ERv6LqaAvGocQziqvn56N8K3
uRja6kscJJTbNoCO+uWmg5cHQ2iZCU7Go+zqjh5fLG+qedeVjsMILz1gq4QfmRPNX6GQwxzwAD/y
G8iVZ8CVRtOp0u8vo8oJSQDfwemIvM9dhDN7vx0LP+PhRvCdqFfLtvdYW0rbBNG4od6gx50BHIsL
WjON9rdhXPfqcZn1urgB0wihemdh88zIRWvhNenBcrClnjbYCyf6XOekxTdvGkxohDbYxwVlcijd
zyU5TKT34KO4R/Q8ssRppxzMz2Ca6hR+GO7Py6cFge34MLaNN951Kf/LhK9YOvJKYjLICjNkfKa4
NJXSJJu3KTQUBghBtpbiVpqYER3QIXilu+mm1OInPRNwKUVl2hsK7+jScNHf9ih8maEzonDGVdfi
Wz7vU7pgxwcD4B4/zqFKX82IsKe4JumYNI8NCu3xLHTGJrnK8Wifj5PZqfIihoYxnAaFJV29VUHY
8uoSdFnzRYB3NCuAoPGB/2iC0AKBUAec+MBSwVIG9/fjAdwUBNWEO7KQXroTkPB4oa4orfmiU5Fu
CcyxmTJwKOyAhhR7MlVzkWIXBs/v37+jqSkY7u0kdDEiYshV4OvseHF5B4OdwC49U3XMSjPbFc8U
vbxVJ8sm3pyLNp0fmKYexGCZt4ORb81Y6ivahs9WNNcUUChnzH7D49GPpYdLJXumop0Bjen2aeil
xV0JWsv3DynmOgyX2k0tAFFjKSWjJrKol85bW0HX0xBOM/QPfdTTl3EyHJXMX5tCjbzDSo3khLeu
hVQovA9yWqnS3UKpI5/O8RIYSUhGC3lv+slNZfNnMzwx/RCpRH5x1djhWEb7ysCFMiaBPibcXbtQ
ioS6jXUcd9JSn+bfCK0bezzJbnT4LdVcOUwFkuYB/2ZEPaUTpChVzy3hYaAvNA2pvhdHQsjx4AKA
UP86B+j/qp29eB5HOdIu3F5aJIHejMKRnubrDl2b+zkZHN3gLO0Z49ZN6kj9jpux4A0Oahp4nQvc
MX5Tzr7mnKU9fEX/AAdWD1EdL4wPdVDyz8YMsLCEEkLt75r9kATznr4a5vlME5tePGKq/U9pY7d6
SjtkMKpdKxyU6FTK2Ayp59SmPT74HJt4C1AL624+G5Xo0uJqpD2BX9hgr8f9cVge9KiGT9n2uzqT
i+meqQAMP0om8SBjN5HjDsm/r1emOI/T5eAJToEZFrX2oc/myBHY5Oh+i2gU9XLjzrNi+AcdqTh4
zKDR53JHUqKC3O26Y9aCHu8phGy9MLWTDxXNCCHIhnTQX5j23BmnGIu5PBrnCX0kCaiFtqGtbavy
rjOmi4xwnXsMjY5v0zgBRY6nsjNLHqYM0zmq7iVnC6e8xnpMKiBEgqakfM9CzHKz7+0onUmt19g5
ABgkGFH4l1oYopyFdjq4EUWDjGXW+7pMqClivdjOPLNMVbZwKGhjFceQlqt4MP3rXpEsYvDg76BH
Yj/NTX3I5lCPSzGojjEU2kmTRReg/Bb+rLGg+SBGc22Wyq5BR0NVJON7lLTFGObQXIP5sFhyUzjk
fKUS4Rl7QTUXE78LPaZeBQdePiNXJPD5x4Po64mfJC5r+LO+DfW6lIlR53B6YO2UhZwhYnmqHeXx
/vrYYHUYeYvMBSCTHQNqbFobhQJfv5lxZ6W+7ZwFOTiK6IIul4FLOybVGlJdnKjT7+Nc+/D1ipCK
RLcPgDPxEvp+aBiOyqMoQxUxaGfWhzmIDeeDEnNL8YUlynXO6gaRawyhiPLzBoMgdjhqgVM2fy0C
7PGufgRXrPr65UxVY1fyCDkjQGQRgfqxDZx0lwV6dhDY0a4JaYeHxAe05Z6yIw8Pmzlntdeqcu7Y
T0Ewku4pYp+JnQ4LMQKw50G/wR/Dukgm/WfohGgU2i6wW7hzr0KoBW/UCNi0TINRae9tv5XthDAu
jwTz04gSZi5OWa4PqzRGVXSNiSxY6k5mbW9ApTVnDwzLlLf3olD5g8T7FbZo2zZJc/LKeqQEV41D
/bUu2GMoEBfwYsFz+/a2Kuuk+ZNckrcccI+r8meHzrD2rtDU16dpMfPpwyIBCW5gblOkpUQy1ZDS
KQGjs2ocCoDDYZrcYLxuG5Cx+MsUosDmNmdbxbqyH81twzdqWeRpM1pSduGxdTBVgnPOq6GNepop
9GPya8lN3Rpz/ygtc3DuvRxxV7RFtQDUByGuNYfVpkY3ZYaM0zDqcT1iJ8thxOTTsuzo7VxEewit
haM+aYRw2Hh9doWOzawPo/QjcrSFoZYHKomY0SS+14OiJqcQbGynt8ztTDsnfhpe1HdyR/1RG4sB
YGi3kZtHZ75l97umEtMCdwT19NGczNg6hLUy6cTp/XwB6BvarnFTkwx3Pg5dA8P9KGp/rpu9rIRS
D6pXWMIYXV8ad47h0EDYU0qjQ6j1vPbjArQHI5289/y2PkLBRX0F6hopzk6qJc+OYdJTG1yAfGJi
JLPKtjCqbJcO16n/w955dUetpOH6F2mWUinctjrZtBMYY7jRwgYr51Ip/PrzlM2c2TTnmDX3c7PZ
BttSV/zCG6wqD+ofOKkCXd2imLp0FIGFM6L17beNv7GdQUjzIGNcrYPtWJii9A4x3ATvGpSaURQH
5bU2OMOfaVA7EgMPSFOj3WwtgRmJt/Mc6RgaIsiHyW+bpvLYl+ZSxp71EbhIA4RmwvmEa6mtnKoV
n9HobFt328ZTH0O0M82EGAU5O7TN4BFPbJh+XnSsSaeLItaBJpzS10rIQcLm7gIdPvZc4GyH1PX0
CVcJU0eYGQQqK97nSzklmMs4QzsFH9YO0SWJK1aHIcwVhdScWwaAZmLDzPR9fud+FI2O/ujF6Xf3
sVbjbRdchCi0j12VeY9IhsBWPEDh8ovwAD6WBKodO8ExKYbBVvdBQcXGPri2IAqeTGI3I0Kcu+Us
y4NMXxqxMcXIrzoVbb4dbvDe6hxD1y4JiWqaNZwp1ViZfFDiErBJ2FVUvT4Qq9Lmjob54BKaAEeW
DFBb+/rmDLpp5k37JPV5NmpafgOGwBWAWKMGcDO/DO2imL00iKbn/Ycw1+ck9NCSb7FzK+SN6rgd
rP47DE4dr4Yx2kgPthx772lCG7ihRZ/79Slpcngee6z1dCxVt74OWdJQ6jGCEOVJ6wX2EKDy7VRa
Coop9yHJEDVg7PCA2JrAOaorzvBFh0ivOaw3VPqW+nWDuVbDOBaNqdMwL5z021tObDCQbeLmYXNY
Mhw9XkqoHwSuAfcKbzAOBs43x3+PxNqxhTZ0a1ciUjga/MaGCihGHIUF6xp4FwrFDFlmEgd8FNUc
i0ew5iTUb9PIhWlZD4iHj/IewSngOXsnxxWWljsQSMR1tQYcbj/rlJtx+FUVvsiLY9p6SQVpkHBU
3a8+FGX0Y9dWZ9R9j9BNetGatQ4qTEn7ZQL4seD6ivJTx2KpKEJYc5RNZu/LLaLiRCmJHetoXjVt
34sj4uGDCm5Rybab7OTFvlY5w2lC7wPH6U0+qkL8St2XAyp8MaDFTmfx9J35BoiMOlCzSoPwsKP3
gAN7PGb0ajrbL4mzk7fbNVUq4dJEUJxANXIQmlP3ntPreFPCQkaktcxzImuTEchfgETUfMHf6+8m
KunX26kMfK5LC5Mb7rA0RXifKpFHY4xg3mn1275tj0JS0r8vxwlq/aEfOPiqkzM7KvmmgimhHwYd
pPDZ1R1roYwyvKjYZ26P9zmG7rUd1lfVZCVKbpNyCCxEnCWoVoLaqVmY29FQuPju6rXnI5gtwioP
iEvq0DoEBak+Jn6Y9d9VP2ba8a4YWzxXyC1d5+ROlixQ7RA26wxEgE4C81aQsZkW9odsIzckvCTx
ZJ7lItblgwPodvlAT3eZ1WG2na74rlJrZlDit8hnSExFrDE0Qc+nzWA5Exj8yojR/AgJDOYkMcm+
sBRy+CohZ+l3IJ+N+dlRI4aFpqFMMwK2m5KO4BqdDMYx8FpnvMcNwhmNyJgsxp/CuU664QjoKAxQ
kU7y/bDXgXzSNqyPeIgTZk1WVKma7RwYKxbpPUaAxCihaGhOEIRwBsBvJee96Py2ngadP7CcPMHj
qVfEqz4qW85k79j6YqZLUfszS/9IR5xGyVJgMvb8tvVqVerQqjQqsBlgjpty6LZSqUEvjHpqeU0j
dha9JBEZmuob053numNAVp1xi9CQDORk+XqLky0n7ZVHD0ozKaY8Qbm1hqIIkmYdLoJxtkrsgWxy
Ci42rMsSkkCJ0cHeA0DLrwld2XNW5V2tI1FocJzi0fSWNQKFK9ilXa4sDikC/tGLEF7ldN5BDdZZ
4FtiUcYIpVMDWPELwfSp8xaK8DJYyXhdFeQsdJIk2pTRlNY1U5pZo371EbZPUu1QYYul3Bkz1gFX
fktxhG9Emn69RbBRH1iSaTSQDCyGLKs3GKUPK+VOzLmL706D5VK4W95OjhCvUMawsgq9Kv+7OhU1
I3AIUBOpUvswBs9qRsHcgK8My+lpjqXOM7UtVSq2mBl3ZbgZxp7P+5dHnlcD9SNJT2HnQEsPCJx+
L1MtbV0HpqQjKbxJl6TflkaJdAxX1/uf7s9HaQAGKki6Cq7hCb8/yoaOsSqqE0+ZG+vzqfFcB2T/
zGHN2fX+s865WDjKg4KAvQY516G5eV5MHkwLggA976fZqWB5fBjTymYlCummbMO0ryzuwtVrODRG
4M70s0dVdgEGThITgWuqELpcG5Ly6rPn7WT+VdDVUoY6RPLFwJ1AA3Xiq/df/4+hQs8FjAOUQ3Rr
wIzof/9H3XnuYzhTk4/ObmbNvAcXlE4LuVxJof67R5nCoXhpwfGzXquVZ2vOoNbjN6XvPJdjp0tb
3dLqqeekQSnrLx/rd8SIrsPSYnGZGUrzAaCRs8WGIURZtOgg/JitBCvBn6RSfoonTDuyi5Om08Xg
cvH0bvtvPyTVblhoHlIUgvbQ2dIDJT/0YPSG59kM9bGY+2WgPsZ4a3Guvv+oM4yK/pBwzKldecKm
9h2aZwOaN41VTMqufgylKyr/iPNP/bm0Jd2USEL4SNqbOVxjszo1WV975k6olHJAPvj6fKtKWjeA
H/F8C+/yHC0IF9fE2i5PBSynYDlyNLrEIO+/9B8TIxCMCSHlMDumRa3r9/VmhQVWs7ZZP0O063kL
eNlEGspaiFx+pRUx5r5s2vefeyZWxWCJkFmxOfYszcw+b7DEhmXObS+Mp1UgKQT00xeU86gftGlv
RhZSy0N5pKBf+N/hhOqrs+t7HYuQMxLIZNU6cYWBKV3lU4IJV7h3wGouHwTg378eKn+U9B2GO6QV
RCcIoPn5KiLjQIuYXON7mEKGXo7xAqHswVp9fZt4cTL99XQ+b6GAcbKweEN9nD1q/wHn6rvBCRJ2
xffWTfW6lbBa1tsxIwj6mNgg+pdtHJIaE3cvfP0TQ1CzvyEwqMTF+zN1fiLRNRXwvnVXlZsJKvTv
K2TChUJNYeJ8o3xHlQVsKgXdALwPW/b9J52Pso0uE58WcSaeRh35bC3iwtoFjpVb38a68Ysr2Za6
ipXlFDWOClw+Yen7Dzxjtvs2tHI6NDR5BR0+Kq2/fzSZByv37tJ/62v6REAFnFhHBMQPC/Ma910J
SByR/iUNI7/AQmX52+n0x+B6nPdaZML3AwTtnLNzkYJKWlqtX3+DI7kk9Y5e1lrsKBCmYX54i/BV
n+osEpUKHer86h8ZQurqcOVhQJFeIK2lB6cChMYfbKiFC68B4E1iveK1zr4eiglq1zZwJNCLTWYV
kqPWn4SOKxUUWdWAZTC5I2GS0EPPt9IfqbNaIFCwWFYF1exdQN5ry4uM1jKmG01h6DRkAEbDvWpo
+hkdl6zTkS84CtIAf3B0NNzCMOa1/Lde1kAWzC1TFLbOL/IANC2RqG3pvBIdeVyhN+YAvIxKcpL3
FPFtNQPEx7K5oIPx/vz/seAQ6AIuKnwkGlFoPF/aI0l4ilnI8rVJO4ejNWmlrhaEq9TB8q/uzvuP
1LvlH61uX0cl4evJF4AF8M+FKLh+FtkNwfQ1TICzOrsRuSDUpxA3LYxrczB5g41b4lLc7mcr1vmT
UcKL/dvxe/7JHQecLEEG0oT8J3htf/8jzKi9rp6Yy/Rr0dApuMyqXlaf7WKy+5M9yL/oG5wvckCp
oDcpqnp4vAbuuZSCZ5kQXdth+KY6OAwPIvf1ssjzVich7w+vfbal+e3oHqKj4Pmv2njnd3AyzWaJ
Zaf9uYbREGxjKv0SEzs6DhSFsnwikNrQ8K74w6e2ybqcNU2EuoaAX6MNMqlWUh3Q/fsWrwLuHWt1
dU6bJVyJqBGzK9ImT3UFeDZ0xSyQ8H3SCxV4uqMCGovvRurc4cMZhSBsSxJDN1UtBX+bAoQFkq27
wM4oW8p9jce4e/X+IJyNN2MQUu0w2acuyjZ/xCFCJDKsPCD4SKrpIDZu6OqBuZoaikzvP8o5W896
Tjm8PAAXHtfiH7ouuGXRfrDc+D5wm9dnjYIuQ6E6nRWPHPUcQW+99xKQDqOAB7FuKPz6qld4SWbk
0iaDKwhTuLopm7ScdHYFuXq6MArkvdbTwFb1aPa2VTEdoKdSW9ghQk0lKYM6SAb/q0dOY1X3Ww1I
m+ydNTBX/k01lZ7wVeQ8xXiNOf23Kp5CEooapiFSPZO5RYA/bfCz0/Mu+0z3YH51m9mRrN2c9iD3
XhxTEEQ/zUI0v/nLfRv8Pn2+j8y1D1gcwJLgLvxDpaHjE6jAbOPnUjn+Y97jVLS3QRIcvSJoXdph
qdwn7hx+WHAPjrctmvvHCvOBBwVBWWHoPdbgCxJnEwJJxCQild3nmFLPcAuBQqVRGihwlmF+V9GV
flatO+DH3cPVi2h7ejdKxLgswH244kZKEeOrUlVsjSF3vqxEZ+oy7qdcwHVEABUWvCgejNWQ5NEl
0MRoCPtbl1sJzjXcwCt/6dVWtku3I9IsH1IiYxg5Ng21XOvfcIlMdLulVX4jFxEfFrT6IWqtnYku
adv79zb38/c2xSp8gztJSrUvGYYDZoX1PVTw8SFznBQclGm4NR5VApLNGEJtNdr+k+cOA2FRPB7z
ecz3dNSWFnAqOIwINGJmbEa3Updl3ezkFKK5H6R5/mUMPAQUgngstjDUmvsVs78tmZqRUhg33Mj0
zDtXLuaTvcjhG7r/7ud0FDhAzF71ofCHbIflWPYXvYnfD2sWBEka+aAgVHBtAoWzvKKhUuoDYa9/
MF+wOW1sb3Ze2Ug8yhCY/Pz+jv59Q789DBkWAFnaWYhH/h4TxatLaNeH9Q/P9CswQrOJjB2tiE1V
FVfKdbRJXNJUd3TTwU2+/+w/Vv7rxwSrQ3eTQ/w8GRnFEDag5KsfHbb1iH+ULSpDKFsCfHv/Qa+/
6T/X8OundG0bjA56WFzI5/WW2a4KW5GB/kCnmz3j2FwXeLFUVgbIvfQ/1uiGf8wGDCU3ZinCduso
PLPxIxAeGksS2BdgPe+m9/rwsjY6/zP37UCcNJbyoaoIXmxZV1B3peXeIWpSv1SjE5xqOhl3yl7s
L2FOSWdjNZbZRkmR3DgVhLuN4Vcehc6CtrU1hdSg+3D5gaenpOs29nsrEeZ3c5aQ0Ji/v8RCZyA8
hkSHAYRBjIvDHX0eEliGP8wuoPof7qgHP82c9OCgqHyc1/l7jWfaV8cI5+2IQCtqpjC2jmB8YT28
PzNCL+bfZgZNNV0AAQwIcAytsN/XHy5EFZ221P+BFnFZUHnGa3wO4PGgHV+ucqvcCvuPSkIAzoy2
ojHaVMeGEu+Vaj0lkQZMjJvVStyjsy7UmHvgwxWufyLqC+MqW2r/tDjLoXYq5552QXnTGEwaxnWY
IEarnOlQYuyN00Ub+h8JGxVefm72snh5du34UPYKmirHLGnaG7xdSwlzdUAssUzHzyY6j3dGDXlh
483WtHdsCbba6bPkfirDNI/SDv69Qr0x3CiZ0C1DcyGnZ8id+MkVRnDK0sX9YtEAijf057BIfX9w
9didjy1ayMSgHtmsf661NNI9Yd79GEq1K64NZFwe2sxZQGrjA3dtTRox/v4Tz6StWFW+BmOS4sDC
AoJ3rm8Hk7rsK67On3mbu5dUmCEjxeNifKCmj1evyV7aOujB/Ggds3zACFeesiw07wwVOvv338X7
c2kRanJ82oGtBdnOLbb6qRJDkNT1z2SmF0fe3sTfmn5N1barFvRSTLugGFg1WkZDUFbf5qknjilw
2C0lxTBEG8JAY61vYABkslS6S0K3qTaG9Arj6uHYOc587Y1pcpEIP3E3UB7taYP4LiaoCTY5I06W
QROBNRftwWBY9nkhjSt4T4pvmHzj5A3pgi3PxHWWw/jFgovbO8JNszhVICKIKJ0KIkPZlTXoK6ze
dwp8wINQpKbEIsMnac/1RVqVDkZ+PsgyViKd1cijQH7rhFkNOoE6FSbwMy1YiZFREsHMbK+mNhzg
VmetB642sBsLWr8/9QcTmucXzN6zRzg38sXNbDxqBoSE/lYj/vP8YaWg90bsbnnMz/mR7NiABop5
Kn4iIGjiIjOF+ROAqIUGO1NGTuX/WIcxhm5jPC3oa8IK91T7N2rb/2vBBhqCzNWHNQe1gd/PH0CF
QzWsfvkzhgE2bl8nxFvHtDxlpSfxWlThfdfX435BgnbXhvH8NQ16DLjSAWrt+yv2rJb9unuw+KUN
w9FBBfMcsbtW46QanJ1+Jr7pfeo8a/iIbJOx9emBfOBeHK/RcZeXrVtXF+XsWFey9rnI/FIi2ooc
E4Bk9G8xyh6dF5DzndgEqCl8+stb/hEy+BDzHKh5NphpksqzIUPaaqnCzh1/0iDqks9EFmKIKLov
mxFVjGsbVVXar8PqBdugF81LClO52Kyx3U4HB6XnBxGWycn0p+Kz3bsjzURuATjXfclwJ7kfuR3I
iLeT6X88i/ulhTT7/UeVIco1kKQ8y39SZwkhQ+cfE/wH3famKL+j3PUb1eLXD/3iWoTuv1zKJUSJ
DhV9YijiuF+EW8JUaLXQaRF0IIUh2/+/ZAvH1/9CA0AbVRLi/iJaOM6/WD1CoH5M0MfPBf8N0YLK
5G93HAGk5sAC/we8b1sUHc4WY6+KAFNaq7tE5mEmdC/3MsV63KlkcCfg+TUXAkdWkJKYEYhd0aNR
DBdC5D9KyrHAZmajbzVNqQqzGKEFw+nvR5pwH4IkzPJbuJ/9N4XL2FcBge8ytZLygwSOvA21fDjy
NFl1ac8x+C6genRd8/qUg95tvtZp21xRaGuRPF6sA7Z6CqwrAKF9paYeUEO2OMERoz2tVQD//FFN
8xjQoxQ+PmFZesrBq7o7x1N1HQHBDLLvShrp40iDg/inb4pk3w5j4Z2kMFNKHpSNcAQeQabi3VdN
GZoM12UKccbfI6WztsAkBz5uir2cTwSyIGN8JDly+nnHTQM++LJGBhfwRmcTNQjIXH4VXwf2Go/T
Ji4Zz04D+8ZJi5GG5rQdFVgNsMWxZT5PUzlM665IscHAurIeBDZpNaiYAss92q2gusaa26wOqD5F
swxd7tw0WDvX2oq8ddeo8ABftaBsMBDnsAB+1Kz5DzpTyyAKmukJ/mhgJzIXHDDUvoNdzHF/TVxo
XJhIv9yiQQ/uNjScDdCKHnW8lGuR1uYhEa39CdzQmG2cAbtdQEHTHag6JBjCdvkOJLrYTeVYRkux
YCSNHsNeBRXmyVgSH5rBrS6aRo6HoladxHu08TYEAuNFgKCAT995X1U1GaOXJjckWTWN3HLewlwt
sEVGuSb3kgaGdhjf9ai4fIFLgy9vgXkepETV3pS59xm0WnLnJN1wO6XKvyMHUl/TCsm3JLTiy75N
5zvWQ7NfoAw+lMMc35Z2s3yBhmLQ2R5HFcW+HW8nK/Ovw7CIH1IESo6oMRg3xhzPcgP+N9wrv3dO
kPggkqKNuW7hVhfLQ9sFAm5f6X3mrqk/DctcWBuUC5M5EsCOAcxUvT9HDQqBF3Vve5oVOVS7EZ3B
iwnL4AON1+QB02znQ7j66PVYrZju6XYOKMq1fZwDdevLFwtQK4on/kqEm3C7owHfoOCEYvEtkv/+
RT+J+7zzt0M+us7GdWb/ZMF1TDYAeUqgIsB7bsYkQQJinpsjRJRxI/OFuR7p9t2lpVc/gHDBPi72
26fJTr9YXa8ihNuCS2a62i0tvbVlaIOrdSnnu5hL/rJ25/4+sZz1cXTWqtqDhbKfc6QSPxhr7edI
Sjj+5VTO4d7N258q7OKjJcxul4IPZgb9/BOttPERVHf5ZQEy/MWZZCYiWhrFlw4Rie1UsMM8QxJT
IRawC/1J7gm3PkxNDuqGUs6BcvdyU4e1uJzmIYQ0sBQ5hod1aNxYOWHXKrRDPa3O7BbE83w5G+3c
40NZOKxiqJmpCGZE7aQxbF0DV7+Gaiec7Ak6ZqmjAr9Mo8Qwo1YM0yXafTDWF2E/uKjF30ij/5yt
/aecFPXHLBp4t2YIyH0jJqSBI5to/d7vc/dDZS7xiUYBNaN8QKwpSy6gLPlX2tuerTEOn+g4lFvR
m82zhwABVdS1uXXicH1C8aWnDGqU6IZUU4sSS+J+xtJQRF5X2u5mqjoaHOhdXtEwHL9KYWwBwCYR
OkxmBD2KOBbtlssxa5PvAzSRn+WEHM2guhPiSdMOHMO8TdXoPNppnB2hN9iYPyImenp1sALbPSEp
Jm1y+sJNyXe62dj3ja7thGbQ3BX5AB21lRacDIAt12rIyMPKWBfVUBpDhtlOJdKEE/3FqEgm5xNU
ieCJChb6W3TmEMJ5FaWL43QBToqwWqMwdB21AycimT2oaKmlJEcTaaTEovmwGYMUd4rJNa+IrLAQ
tYzh2k/Ccdkko4OqkiNKzJApLjdVgKlju1jBiW5pcz1kQ8ESFU0kzfm54877aE3ecgHqcoj4pUmU
5PFwIYoWoGDnzidD2lAUgjZ4dptevDSG+yNrO/tk+QCDooUECMu0fAdG1mCTG2TBcxpchU5RnFKz
8fJNvj6nJhxB4GGIi87z58bsP83dakaB1adA8CnS0J1M95llCVQs1/Cus/pmh5R1ivrZMA1HVN+u
S5rZe2K8eItJofWF1rh7yKlr7Nnvz/lawx23h4lMuWzuAWVxgqR9ezmh7AeqLxbllaAcFomhVlcN
jpRHA4vZDIyzJw/gKbABaRCTqk3EmNCl7n9082BAPMNXg7DHDR4S5G8veUPKy8Cmo0a0AsGEQlS3
VQzHGlBzcwF+2I5oxczbZTCzE9Lb/ga1rOYgoQJt3XGWX+2+T7dl0JCD+cU3OVhPedcW0cr1eFJT
lQB1HgAsukFXbeqhQTmhSpG6cebhxXJUsRutZfyU05kifZuw10gC6qUBbnxOb8SfMmUN15Tf5AHG
UsdbZP2NooVh7fI17NFtQMyVhltqXKCFgFJlGol6eoIIUn7rIJyQNAbFjwoazg6VNuY1CL6lQfmz
L7LhwjG47gm/i20n+D8g7OEGrql3VJk0L0zkFbcwnCg4gz85rfgfPIc5MgyyTI0DYmHGxqUqf5cj
M3lpD3m2b2XeXYwEJLsRpNLRQQl272P8vaXbIA6FnaoPAEjxyyjnFhiaRfJiLqhqziCjwdUP9bPE
KSvi3TGCTaxoXFLvOCkHHT4BJQBfi9qtaAm2ob2nCvzcme3dOAaEDlmdR4g+HDiijc3iIGabkXFA
JstwEFmJMKAX7Qqzufbb/s7HWyocOvSVScKxuEXMK60/BoYsLvNmTfY1PINNF6KwhCKXvXHT9HJY
y2Qfu+WVUxnGxxCVhUNJh+cILSTZrg7M8aK+Xfos3aONjRJnY2AoWi53oRot1CCK8oD3Gl0EHEW2
KFcgZgd15FArZ+UQ9p0bJB1siLyGf48XR3ZcMQ1FrNP62cED2wnMT1BhGyv8RFrBRVak3AfOeDdR
NnvOKgrqvsHya0AlerOq7zxDBVzGK8QVgYSwGbbjxVz14TGvE4Ni5RpcVnK5KzPxDfbRW834f7nU
X3Ip/GlIZN7hrBOtNPVvmdTbj/ybtG5iM4FvnkPHh8Krq4V0/p1IWagaIWlkwiGxA8w07d8TKX4K
mguNay2O/59kCta6HWD5iekUsB7rv8qlKPj/nkvhHKr7thiNAUnj9c7r8VXnDxicYz9sZS00IFqd
E9Bz2CbCa8wPTasCu6I07cuVgNiuyDi+SKr6Fp25thru7cqVxP0aEWjvSvL5dsqRe0CWNviUQYNB
DiUa8xq8ZtSikFbvXWdCjRBpkOWYG9MEKpPel12pi36kCa6wDpdEmu1VXS45HlAqo73FnVafhA6H
KM4p8yLPvOVqceP4HiYr9j2G92gMjTpMjfKTyESKMiTDOOUadl/RGbI2QiC+y7FB1pelSG3o4ATl
P4o64W6icTshTLEiNOSVSECvBdqzZmtT/6KXpK4yMwU4TGBApZdmJjJ4IUqb5aGeVXmAQlEGWxE2
2YVXJZ2Ox0kJo2ExEXExjIbf2S7yIPtCjbQsaUanlVscWzps+3ztfZDEsIhQunTzeI4qFasbW8T1
V/hm0Dw8mDsIvKExng4DRcGkxfgwgh23gvaooPGJTj3K3l0e4rUB2d0nXTtjyQaMgxBa8EHd2Bzt
RzDm3WkSFgeW7eHkZhVqh3poZ8Em6E8TqLZ2S+1u2pHdE9JnxSQuPGhkD2GOli017nA4ANLp5B51
ThOpbJb61gAmZd51XrGzke2oDo4sY+qnYibjyqW/yYacSEOoSvlA8t2+QZnapavoqerYNTFOFoka
g709TdNuknkTVYlN5LDYEu1yssJWRBrn+eITnn1fhYXwh2A37rUg0M6s3QVnopA7I+wrcRibuf1k
1X36ASpO+QibGMF5U1lISsIGPZYqTcyt3fs3VbUgIUf4uOshTxIMgs5h0Vgzps3U6zuSrmTepX4f
3syia1Hi6WH0dG5ymVII9DeNUxUQpRyCCk57BHxyo7mQcW5fSASytyBR4m/shp4uLTSQJ5B1FhJU
g1TFIZGdfR+X2Xgx9ZW/t0vaU5uwjodPgaueTUiJW7UAu4khbxFUlEt2Qd3WQbwzgVsbJdjMnCqP
9mpBGvBVC2EdICmjzS6oS5JVKzvZDGi6ONsh7u4F3L3rju74UymreDt2yfJAXF0d4xUxGWyxzDDf
tMYKv7A1hpulmetr1Ktz5KSaPM82cG9jorBCMw/i5rOXkAxPRlhf1GGWfJGIJc3gIuLyY+HiSg6h
sD0oWcFZCViHfuwiOeMWJgWZbowWWFjhHhddauWBgEv0oW2DHLajbG/6Kg73g2eWP2urWJDyHRoU
xxFEVuh6bupYPmMf4ZLHTFOERDns2pI6fePa3wGLfyF6FlFdJLStQmWT4W47eg1JOW3aLm1H73Ya
jDjhsYXwxqX/X4XxTZbvL7ciyhkU3f7/tyIcxvrns8yex98Kk28/9utmRJlF320oKVCK50qzuP5+
3Yy+8y+Ae3gYcfu5Fnp33Fr/dm2y/2UCaAfmS9FcX1u8x68yo2v+C4MRDxkI8Xaj/leuTa5LHfMf
rTQeAkIxpMSJGh1iD394mQp7QW0Cht2xqRML7YKs3KUQS4CZy8fFK54Cur6btlklGrVzGKEhRGlx
XorLAL3wyJTBfaACpD9LKJHzWJ5U4A6c9t61DSUXpUkqlH7Ovl5Gl5001iuXY2VuuwTYCTYL4b4N
DRI6AtKIcuhdCyGdkDaGyOYGxc7qfCorFs80YMJEOR38yDQ7cwsS+lGV4T3a7c2maxvQqyJ/8ozW
hJ3OtxcWdUluyv6iVf2jheQycEJF3QpQ4a6K/QeQOh/JRJ4U9TB+tn0sm+yFDjVqY42fRdRQ7ywI
vFA9+DxeO8ud2XePHvhcKMpovU0GHw+dfTuaq9rcKoNqTx9cJDUcjXhgaJBW3SWyAq2TFy+A4uaN
5zGUMHlwuuj4paViCPCf+8xHYBjM4KLKhmEb93yXMnkHEC3GLo2BLCDm3ByR+m33lBHKrdd5/Gvh
3k3BKHf6Jyl6BpssHFEUs716kywMQVs6ciektd4lTXkXLqXalQOPLMH+fxBux+tPjk26wws5rVds
6VF8LoZw3sQoGWzDpn5Z6q6hGdjbkYiXgsrPwuFLj+M5Lg2LcQjvAW3JnVOXEI2RtuDah2ruyiDQ
rpB21OMOfI+SbYEooRdzSZXrvsV88TgFjJ4z8NBJ+BeBZdy/LpKsw9F0cbth2/qsA2txsBML4Cia
4f0UWCqyC/5TmeJOZbxUkiNvSyIY7i34YdsmqeZLP5Q2Z71eRZLvJcK8zgaLA7MZ7J2vaF57sTcz
TCwsgjFg2EJcs55f4FY5G/DLwaacsifK/8z9yld5THFPWXh1TjIA1w2tThfVZ4IKtFhtv12vMAQO
o37oH1/nu0rI6lTJspITnxfKd6iJVEx911HB8oLy0rSSFzY5q9rje4OU1Rn4LJVG7wWuoOVzmfIl
zLknx+JF2HnBRrUoNYwMFzHM/bIy81PHPvH9Kcads1qvUp/dEfrDo08NFe0HZjgYWUwBu/F1MOqW
TTEZfGtbVE8VkpI7ZHO7SyDqYufGLNqyGOLLpQ6tj9WQt1TLpnwzoccZOVA395Dd7V0PyXJb9S5D
aireIUkHnFmM+ZBgC3dyujiLOrnaO+xJqBRMzimbcrLcsWGVIWwGZqkurgKbjeqYHAQBheUdIgzl
DovEFwQSszuViuvX7eVAkz+a1mjv8HuDXUzEt2nQ4ibxZboxqCguk9SsD7PpFJoUyzYsaEu/zi1d
ac0Pq0+eivURwhKo2y6MHPwxotdVvvrFuocjGR4GbCB3C1zUPYFhuYWQ3kavC0CvcLb4Xeau9cFZ
OMZCxf5213A9vk6zHLFjlIhHQ7uy5U7lVvwdeohxFFTuIuhYILVGyzhiE8TpJbInuiNMgVW8JHAu
CbHZPXgBZVEFNzqyawrjZj/WJz8z52sxi0Mw5U/Q9DEn8Kf6FBd2sSt9dgQyAMYxEezThqDxtPhp
uPc9FlldOfXJGEKejjgDZ2+FuASHg7XWm2x2D/CBBuQKZn6ZNSnqWY4X+dJ0tnBFcfmwh/5i8gAv
+jV613NWmehzCmdnIOoV+YnF4TYxda9E5ni071LwGTD+6uXQSg4TeJ+KUjEfO1a8Aho77CKI4seK
Vvyx8kvn7Wyyw9nevW5alXn4tiQGJWuZ3oqeJdEL985etOhpbFBtkI2+diYWUze3xFAZ89eU5hYQ
Sn2aPXe+Hv3ihQyXoVnYAa9j7YWi2BYVv3K0mFe3JoB3ZzlsDcDrG2gtEHxLI761rZVwtsGxKoi7
l87nr6sxRyqGyDfJOE9co8z2Vt8/ByA7gUgQRjed/1A1brMrjPTWmMZrX0PYHIRGL5cMdW8yIET/
EXpczB1QZMQJ65k+DQj29VshykptPCICbxcG1mAgld3nT3bezFsLySGEQk37XiRFuQVcjRD6kgzj
JfReptAx4yTexInljrvcJHZMm0ze4mEKcQMRoTLx93QLyMuWQpo74soe/wU3bS3K0p1x2cbjdwOj
nR9I3j67mdmMm8SZi5egcwz01uBzrgOwx3k6yrpv9mFVoB8Bj6Zzojbv2fO5q4xtwlW0ta0gvoL9
vRp7LM+n4Zr6WOATM7v08OD1S+MRWRUVpSjYlqc4DR24n31peVG3FF12LRQMl12C0KHxsR4JH9C2
uP9HKHb7Bgb6p4ywbo/+ByL0Gtf8H/bOZLt1I93S71LjghcCXQCDmhDsSVES1RxJEyydIwl9E+iB
p78fZPuW07fJlfMc2BNbIikCgb/Z+9uIg2jSEVngdvm7/C/zNGNmQtztiSeYdohjvqAxMZcs3EdI
KqB4Wu46K/6nDpt/lCb98boWtJvFESRN/W8aR2+yDFz2VbcXw/dhxz1oxulHMbD4h6z29b9/SiYk
//VTolpg5yyAz/1dUUlSsmbR73f7bOICWSoBFmUaUH9Int+v9O/R2D9pAhhOsZn/n5uA9Wf2PrzX
n3+VJvz+M392APC5Lc/CLGoh1vq9zP+zA7BpDpARAHtEJvQ9//oT6u39xqVLd4DRkBbBXNqGP3UG
oMDZAMCkcPABLiTuf0VngM7hb5fQ4uEQeBp0MmiWKdzfLtg0oSYi1ojYEWeKXpjCFNXaqUymNSOo
UH+Udd5uKzXdZSUEFD+LKKp06bEo0ZF99UyvQZHN4iWIuxxxMQFgPrq34XNsHW15uie+G5gpVWd7
V+DJXTECe7OIrl6b9OnbImToMpl6uIEQ67BctWS8D6jJHpKWB944tvMlIxKNjrqjbpTQxazFXlMf
kcgRdV3ycNfYB67aiJUc5O36NLL7YZFCFIU22slu4M2RBF071UHOcXCAutVeYeFbR9xIb4lU2ktM
mOpjqApnZSm2rZ1nhJtqaVAqt6lu55FDIh+b+94NP2wt5UOCuGGfY9xzr7O98lKilG2TwBiq/x1A
kq+qNuOBvWMLHwPh/saumOgYqoWfNPPqUW/cO+aor2LZ3rTI4VadQZEh3Meg724EGBjkDMXDoGZx
HnkIsNgp+pXhDsu/MF1O+ZlUvBccttB+RDsC0A3fKLAPjirJlDbN+3RK35RN7UfI3gMIuZnQBsqj
CpH5GvF9t+10ijp84j6X4ONoBhsWvw7rX2d5CyDpbH61p0ZzBxZEvzVTTdsy3IEc23jZc0kz9wzY
jJpoqfxVGJhbTEIjk0TEFBGZCs1c3emONQOj044t5u/3ErrXI0hcVpBxwIbRrLLNQBl4h2JhH7iz
y8ikVbcThIIXK3UfnSYud+VIwA879xBuRSo3M8tFcr8dd8M48gnth6ZYqg9PoRWERwvMJQKQcGGV
e0H3S9NRt/lS6eZ9C1f7kscqEmuW6CPNSaTmTRYVD6YmCFxhgxetjdK8NlnLlMYNWCibERAG7hxW
9X1MqLjWwyUclberlVmRNV8JQYEwlXgtbHfVur1TXgwxdidMMi3kolqznyR+/pOVO/qbxQdfNxDW
/TxOjJgpVlqWW+HWQb0y4dWcAG/Z7aFMdCDNoPamL62wZ23n1mUZfE3s2G8yo0aPG+L+pwKMkUXy
wAeKk4jfVXD/Puj/yUEvCJpjOPI/n/S7z7IO439cgvz+M3+c9K7+23KMYlb6XTG2eIz+OOld+zcH
CC+aZDKjHSAC/Kc/j/q/bD10WL3SojbF/MVlY/wrJzvLkr+f7MvDhl+mO+w8DNtZioe/eOM8oyzc
oHSzPQ7c1wHCLlqxtNxQML2wTXioyVgo9E69uLl4Ye4otp2cthSQx3YiBWXWlHEwh3w6NJk3L3Ba
++B1bAPrSWeOrqnCb3uv/pqC3lmXkaQTcckx0cKseuORo181/AE7HDXd2oSj5aP0ircAecZNF8or
Dw73bphjTqM2P+HhG/htcH9MqCmbRjOMNUyV+qi39UIQucXGyky9tdpVko2HupHzvU2A3bqUg/TF
NHSPRuylPhmRwSHCo7eyNHE/zKbN7jL84Vg5k160XDuZZ9FNq8filJi8Jx22+B3TpXpja466Y0+F
7SV77kYUnyYT/kmhm85l/w4om6GM2Q/r2qrGnzHPj1M6WGQFeTPwMKDtO7Qo+gbKjNwNxdT4g5WN
G47iD9BaJkIBlExx6ljLbOXdAO3mA3U7EiaQbzmYhjWKAcgpZCWhp/Fgscnimqtm237LhrXbYGHt
d5oa95WJoGaUpbh6JJ++tL1d/eCg3+becM+zIL+m7NuQ+Lp1t0pc9uM+mX43dWWGw8YgYMFXhUpf
urmM71OTsEezwQBomjBGVlXY1w80A8ED1aZNntU0y5WW2/hJQbBSxlfxpS6z4QUdHTl7tuM9j7kJ
8ga1zEATJcn068nGaVAIHVQHmVUOuPaKzGQLlRm9vW9Nt3qVccISJ5F99lykBaOoDGY78npxsQoE
tatZLNFOoV7VZ6kMd42yX/DH8wxWXFGH864xqoKHNxHFLKuBsitt5pGlsHKj5MtS9kGiJNBCp9fB
WmZCYxxk8iYNkv7WY4A52TZIwkuMrHxwzQCySh6XDyItxcV0CBK2hsQ7h+OYvFVwPeIVHDNw7Kzi
xTZPkMnTLI93k90zjGnTsFh1eNg26Fj4/ga8t2a7BMzZcCDXtXLJ+tTN7Bn2vP6z7ogg0kyzS/wQ
ves+XGAVddSTQ1nC4WETsGzdwMo99qVdHOlW4x05VYi3wSZNd0bIpWl3DOL2dtPz4dUUTlfJiDUm
61Unk8ohIRgesZP6Jtz4TeVm/ELqg0ixtQRJP/WEqXwnOUfcf7sYyyVgfOSZ6wBXPokLEXz9ShTx
ZWJA+RGrud+Jzqw+gWkSZNVhFfl+Z0mQVO4WeQC/PsOlcY8AFLWNXduwn4LIvbeWkEprwc9neUTO
ql10j01iDX7pTA714fLBWzOfrhPLkSc55vyP2bJdsvvfzd3ltNGBnu6SwUrevq80akBebQ5RJawE
atJTjPlt40LWux2qxXMUhQnZKLPKni1vMH4MBeFwoPoteV/bxGOVS8ieGHFF1zW1DTG8IEyrni+V
hN7iyFCMb81guLFFWNd+tDKKLwWCoVuSeqaTCoRxDdBiXge1AEm5IpGxeXbw5hnUnYMNUJ+ykJAV
5Au8opwwDmZhpD1Azex3s5OUDyqkeiipMNCl8m0hmywfsOSjwWrSoICg2vauXyb85SZw3mehGitg
BEjBvXZCfn23UIMk3G1GBvwrdtmOsRT1DVUSwJ3Ml6YghZdCHZLaY69Y9PZ2+VbELjEOzoRm6sZo
u1t9CO+iRQ+XQQyFZvdlD94Jgz1WEY2i3pDXsTG3Zh/tWmd+DuvGWdv66J4dBJ+rKkBpzMzCqCbc
H0ZRXlueYx2wvLLbgVN2rlaVPDWgD0je4gxPhRuuHbZ7vpCFhR5rumBwWg8jiMmgPJqFDO4E8uZb
QSLh1i3DiXGj60TE3aTMLb3eQuKY5mDgVL3ve2rN1k1VtNZq8VGg5eyV8akKCDyKPINTMi/gLiPH
8mHYv2pBfrVr3yNZIF4FNd2tQaH6qoXGC0zMX6AC8tVcNPkW2Wu7yqei32i5iVcGvQyEp9ro/cpx
yofOtCzUr8n8kffoB2dyve05ahAMjQ9F0lVHT6Y7EzoyzL2ZLzh2xHZUHbGYw5SeU0c8ORNyHOmp
QzpO+YHMI3M/cAivddJZNiPpj3QK3bEKZ/CkZfmqWCCvRvzU5ynV5bHmwt8lk0MudR+86iJXxBxj
7xHTlzlV1yp25Wds0DVZg9LfpKNh9E7Tx5YEwPcJLemGe71ZxaZyfb0rmlXQeO3R8gIL7ts8cx6Y
fbYPk9lEQABZwp8Z73jBg8qbj2hqA3bQ7nQhMGeoNmaIuArrqYEYC0Bat5l7oziXwrmgkk7vuaxY
WTuBuMOxZm3QNBasuwHj7IkFrtZWo/UMzY3qs8FftmGYfCAyOF2ZVfXe0VyulQsfk5iWFx1MmK+X
PO09Q9k7Zme/UJ+8qsjc6ZMKngZRTSuQ+v3KNoeULamt3dSW/RRMBVRebkOK9iJ8gS/XkMBhotbS
3TO7knBDkeB+gAfpr1BaxFNK1U0NQRfuA4KcjgPYBHvVG4ELR7RPnhLZEQGNVvqzoT/6bJlhEXOT
y2XxE6zLXuu3PNOHbdrws2FOdN7c6hcZJOU9xHiUzpGisloyrIeqdi9VXw1vBXTLN9RP5sVpLVKv
qbBWNaKNNeGqZKfkbdxJPyps5Ohp7nqL7yk892ObimNDCuZIdOjMds1T3dYNFYLS1g2fW2fUbh1B
+HhqGqPiSyxJDapDbdNjOz9Lu7a4YgrmhCCKKnRh88BjcOzKS8le8Ajlhw5Q2TmrKxU8eypurwPa
32QDBBSDVusV2qUNXftApZDuhF6qTTwihKB5K61NVI9fBbuBWwEY4Gmo42FfRVL9cMAe42MEnxzO
S16SHJi/WqQv6HIGTUkVlve9dtRLDrBKGGpfBhhuqrpN/CSYgm1JS8zbytSOAOGfpJW7q6YOhtvU
0fSbOihqpo9lDYqQmUQ3pIFPzXAzltD+NG0XGqHjZ+78mtR1Wa0TcHLsHlRNx4wWPMbBvc0tvfXL
OrV2wI1viHthUFiigUWFa27trOnv5pQaL+2BN5dO795Og8oeVNIMeyDa2isz+wsbyeZzkDEFCLmB
Ww+Y47bLkMSCSsACUcfxGqMAtzgO5RV2+CtP0PIW6B3J9Ys+tkERgdB83I3DGK4bc36YHFNexthg
wea6yW4qxM4ZSPDLBALLvgw/MXgiQ+GR18PE2/RkYmxGKLDHRW6JDqkJDiyGznGorlZg22sZuMkB
1up4ChIX5uY6AXopIK/OVy/ldBUn2bGC6DfJohKpdikSYYT7TqLolrslZ4gPvKQOed8RRGGoiCNK
f88mksCxkeJ8hxbZlCqpn3yHGU1LrtH4HXFk/553xHMbB3r+HYTUfIciRSkDDWvlfMclLSaCkQAl
9Br9Nv/OVLK64SFYcpbEkrhEMFnJuMm2blrimNRsxpu5cq6xB3YymVuGKkt6U4Ym6lYtiU7Nku2U
LClPohHtzbAkP8VEQNXhZGwG2+hv3J58KOZz1tH6Do2yiY/ylhypQTrqGlKqbDDdm+uJuCnMfgsZ
s0vehyWLKv6OpYLacMw1kqrCBMJiqhpcEn1M/OOSaFUt2VZja8U73WVNikiSzEvrNJsU2iS6fUiD
aQ5+sPriCNzBpfUrYg23BsTvHacQTw6BVUvRT1xu+1O3hvYDcE9yHpYkLsNtcAUv6VwsWB/0vvN0
duD9THhX36aH+TvSa56t6WzFtXZfLYlfGYqmmybKf9GAQhMsDdVVq6FlFTwV5K/FBIepJUGs1VT+
IfslVmyAN7jFQ91va8ifr5QvzgbP9XhtEcH71EBXc0kpY0sXNivBjOXIIFSt5ZJnNuKyfHaWjDP4
EsV5/g4+U1OLfLlQ6PBhXUQ/C9UQkhYseWm5iHgU6N8xarSGJXVA5rkfbrgErfWhLa6oal0MnJLU
1CWRbf4OZ+u/g9ocnP6E0OGXeSwo+je2mN1TULbltuFg3LhiPsQTq9IKYzAP6Dm9xGE3vArQQ+zS
JdNJu4jYMiMLKpmwlVxCIUVJUrpgI4rYax8Zw9akJDOrK2aTmQ/PwXkioB33U7o2mxYpl2r6r6jJ
870023hfKxS/o1Z8puNMINYUSNrH5pzWXU6fVbtXJ9f7uzBqq6uZePM6ZdiHUsDSVjYS2w3BAPE6
8dzgyBt7ovHDoODhldGS3D1kRG79W+PzR/TmP5v6MJT/X12Ehw9MhH8d7ovff+KPmY8QgvE+D3Mc
tkC/HItlwX8qX+VvJEQLG6MibjSmL3+qexDL6jqNHCsisDnQK/9zuG+J30jr9Bz4BbYNbOhfG+4z
HP/HERCiW93ErIglFq2iMP++H0pFoFAMBATGRJZ2CAOQNadCThyBmismvN1EyeWpSbNJrEf2MKPR
9n5ij/2MWCs/WDI1kSeW5iNx3OOPVGrxCQoj1qvMcJHCV4Xj5itvhnaBTnKe2quWGSET4HAY1JNe
qEBbFX2Mx+6UenGzo4JPkos0Io+WSWXuNl7cbLhuTV8mnfIxFIbrIke6z8LC3kbo98nt87p73B8t
3jd9CM4Z5eK56Yx2h2taHQ149h9MDN4sfJEfltfor4CP5E6v4uqtzlPdp7ZxDo7ZvJPjLPi8bkST
IQ00lPMUjXu9Ki3iGlztUiRaMK6l7LcRsR514NfsAfoagEIn8h5Sd8ZtbqBmuNWiyPjRoxm1aI7X
Ih5Rv8SRfp2apSPqFJLeVv9BSpv3NNrjdAspyNxVhvdjHF1n0+vgkM0+v7cSTe2trjYudZ7Xh45h
hK8ncXyGUzgcbCeKbwDkv3utosWqioo1gpOeVJ4S4Flq/c8mlcFhCmxzmxYi+4S7WG/mxBWfrJNc
RYBFXe49I/7sOqPeeETfvBBzhN08jEloRrsMgzbP3DfD6NKNLXFkjW75I4/zHwqk0w3qZnINoqF/
DVo23xR+5cZKY+nblcyRnQwFbQXLbFuw4PTyBzmP1qJGjarDckU+qb5xtsSjgGJgApXumWQoguth
pvPue7kuNJ6/O703nWmNKJt9k5OK8GqlIr3DHDnf4vfS/Wi21DkyDY0WRh9tXsUsGZFJawcuoJ5W
6EDjBwQL2dnOq+kcUTzdGB7NJKb24Q4rV70tmmb81YLDhwiumyi1U636AhKQsP8eLLHLZTKcKdHi
/Qio/YwVipHe6Awh2PtMWzLHYScIRnMrXK/yJJg2lJjTpH5h0AeXoPbmbFVDYS985fTeKnSb7pmh
PvZSZU7GNjVTxbMCRdfaCCMgTpFh+6lG1tmqzA3v1Oc57XxbgSuhoS3rxbF3jhVvSiqnwr4xNU8h
krN81bNm/yqZ3W1cF48K6SjOuba1D9KfdIJ04P6geAkdll3aYLC+C3PWLOYSIaF7PxhIwUSt5akK
GHrmrhsxoLD1nz3KAbBMwvmVqmA+zmMOWsnpI2e37DBWtNHDi1da5p2GOXANlgLiPZKMED3qMJ3K
QbNa32XOfHQdgnrI1CDuceqM+U7aSCRmxZPZccZijTjWODRGWl8JIkPYkg3dsx3Z5T1bqGhCZpWC
dPDC+KRV5rSyc8/NfdfjIznkEmB9yjy8+HIg3K3upw3yvoTyKpg2MczKp35UiLQGJbaRDS0tQu2G
/dgKbkgdqO8cR60FeuNH4l+dq2d2+7ow59uBisEvR3m0O25rJsvGeIiDnOJ+cMq7JDc06DWiQbZY
udND2mTVDeJ949EAZPsW60KtNYfmvRvq4eBOcRQc8GtJ1m2K3RktgzlW+g11Jy10OdyHlqrPE/QQ
n8NTvzR4TbFtFVgD8hh1sq48QlsH/TArAczHdi6VpYqDIXrjkDcd2VmiwWEMwQgAWhDuagNteRBX
j5qspmA1kSLxQJM1feZ6hdZRk9Me6411L7HExXyLTJHoQCJyd+10J7uxWkNpbVe6Mbcn3ALjE2Gt
1lZVReg7LLNu9BGPVFlyEHlhNKyD1HNfzVKP9lM1ZL42Zh7D7nbSmJfYzisPwXlPYpv2KRKlYVbE
Kjc5VveVBFp5sVA4XhucuH5l5Qivlf4eznm4USLL2Lv1Pcm/DaGeVaCiV2MO23OdZ9eGqShydKfw
zbquTsayQZ4LuoCBSIA7XcTebUO0KcCuLpg3VujUu9yik6RCddcouvt1JyPrM1wmO4Mcf3XL6jrl
zCQhPh0iv3Zs7Uy6i1qVlT38qEYES5ao5qvjDh7jydJ5xdbIvWE61XrGQX6AXjLeFFGncWCFkCDs
2HpLsx4Fn0TUIgJiVWe9FO8Y5yzmrPMT7UPgG8Nk7FG8gPjQtcB+iAEiryt9Ru/pZddZFweqB33l
1YBE8XlB814VAD9xpPb3Q5WGP1hj407p8gZQSBHdJVkDD0hT4fCsh446Yq2TxxCFq8sJGnh7zk3N
b1r93OCHvc5zd9fBeFqpTM9gSJMFa3PtPSaTkR8DBg7cEvEOxR9KuTmMDp6rXVOmx/TKdYnmyAxC
3ypCdx+PDo48t802jdnlvu4G54T2cVc6TXdYRqOMhPR4PVS5deCGirYAaGLcAGhSDRrEDblj+TnE
Q8qjKBjeo1gHHdPrzmnuG/lLyCz7WTeVdrGb+r4xc/thdq0nfbIQF3lEuQ7Ydw+E0sw7t5PdRtmy
f2ryqDvaTv6ezEl7iBIZblXK2rinEd1DXZIOFISwOcb0cSx2QuvaEIRyN5PSs3Z5cvWwG+8FzvxX
bSiGs8dTGWyoCPofIo6JmZ57+5xXcXI0Yntbmony0U8zfbCeR22wVrqbZ5u4MIOVROb06Llhteta
V91Wbiv8sSFeSlfBp8uSwGeCG+2Yb9FzMXnYNxAMz5FlDafKTsOX3oO5JRvYpdWcqbXl2POXrbLH
KAeSYKSJfMAOYm9bkbKrEQTfOol503OqbqpIvAUNbQOCtOg2qcpzRibizeiMZ9JMrKdMpSxIoP1t
0Fz0u7hGJxiPafBWd9O4s8gLf6NLoYX1wKiWvdEf5JB028xp3gbBueKRuYMPs8dpTNeYddG71tls
LZBsrKSbzEfPm1YyhR4xtidZOhazpTLvL1ZWhgD69NKPdJk9JZpTPFBUpadCuTzqbZLVVtDn3eQW
CoHYkaJTXbLQ2uaOuUTU6PXNYMIOKkZb20WJlW/1yAjPknSgTW0k3T6ka2RSNyTOHQOt8RBZGWNX
t6vXU5LYbN+GN/S5iV/KGkQRy835tmIL5GOuEcdyrout7Q7je+cGkCEahd0wSBvHXqUZOpCVw/5j
TaTB+AtYa/XmoJXQKXPf89AL1ryRLwyNapswpyj9qdDqAwZbF2xtiiZzrlHASJXmpIJbaXFTjQb7
mBS930AUQuSTuPwRtLWxZttFPkLuwE+DO8H6Jk1uqXv9Ntaz7WCQm6QHFU/QIRDHmXOAOSfVZoRr
jqQvTf9aOLyrFln3qmtZa5TwQTekqtcrSo9602TpvS1nNM2NPjH6CZpl9WckB52v+q0UTbiH7xFs
ZNFVDaLMJmWlBreanUWzVoAjrJWSgXyB57voqztpr+JZv5cVD6QVm4gEzFYrfo2VzFDIjBwIvZGx
/UmJLiqAG4gHdwy6JFgHvRuVvxAH9Ww/8yLz8kc5kmtgHQOMLumpHV2vfBymnr9a2X6MGlANr6BS
XiW1I2aT1SHebr+A1YgDLU7leopCIIm4kciIZOP7WTlV9DHA3cb53dgv/Ez5poVDgMmqrw4MEkfE
Ej3gCb1x42PXu+pGVfzfxLWWryZ3nplO9ZZX1G5SjwEGvGBjF0u7KrGijcVHHejiBjKbe0DhPHMH
o9S6yM55nBFurxRbrw8rqxowHXKuTkBEsPDjb77WiwQ5cdAqaXmV3+sD4hvHLCeGsNHQ7a2sdZfT
YFpT9RnrEu0RS+omX4VhnO6dOrM2MrONk140aJV0bPexrZsbFkLj2nYm9OFS4/X0tCqfxri3fiBz
R6re4H6SzNk1Y7G4p0SuDMl1IA7ejwm+eh3s4DZMCB6DB+iNDyzRwnWfhLigWjTFN9ApDD9p8SHU
MGPZtSJe69CcVu6ty1N48Sup7pA0ghq5qYr8OOZJ8hiS9/faUnrSMzX9ZSrm8CG352aLN0QtgWDJ
TvNaui/byKOLFkCKWZU4CzdOV+mHKWmIPgtymHJEnyW7jsXaIW3q4tqGHjG/Sqhn2NHiRVSueinK
8DkACHa2UKdjVy4QQptGVeEu9HRIBL1+kl5ePYCna4p1EJB2dNONkXVfROpdzgQ8rqp5DIEUEmHs
u4POYz+eQwu9FqlTuOun7Afpt8mTmwzBzjU8FL9TJ4wdrVD7xABn+Og1gSbWsMJTk4cVbIew2CY1
w6M1sUMz0/zWZqavamodgtKMdRDZw8+Zqo+KX0NlTfzUdKeki26s8LL4WocelRjSMFYyCWr3xtXE
xpCzd2CTHh+ieU7OdtTHh5xEgktm0znI0eFi0rWfmPfnJzTAgY0EmLCSFUuhckPULyQVjgqDK38A
OpHI+VabSrYMXRXsWqPPrsVSJ5kz11U9s2oRSg+PgQHEtqLyRRvmlfsiCYSf0Jax+iuWQlbY9dk2
Ka7jQreXEwy9wqQGHH5NnOTqpWxxItwKCBQmYmyHZkzhotHJImoi1+8ih3E3jjln/tDY1Qx3wmM7
5EBx4hf22vSjLcZqfJwHjcXvSmtpeNu7Tm9MiU+lg0ldIZmvx+HEn6R23W0ZKmRaZiNK9jT/N7cw
Ci60pMscjrtAk+oxw7/3/BfRz38jLMZ7/A+a24VhpmNathkNI8y07UUB/BdZTaXGIclMMVxQ2ZJs
4sHEE0bPN5IfNJdVevhm5OauT4yjmdpbzaq3diQ2rgxuqm4mygcnVa/tvDmBVhjv/vc3t0h6/qJ6
/v29ObicLYeUYO/vYMRc9AAQA2O4VFUNL4BaMdjH/T/BYP93L4KiCIgx81xd/v0PgDxtpOnth0ts
IGHkH0eD/yzL7fdn+bcQ7Z+OJEFa/uVr/y9gs0M5/KMKDcgoP/DHRNLTfxNQ+AXIMlPy1f0xjfSc
3yi+FqW4FGCZYZf9/3mk+duiEWPTASnQ4eeQwfEIa6P/939wGyJX81j8MqW0FuLZvyJJA0j7t+vT
g7JmIWwGFKBDrTUXMfJf7p0pb9u+kLF71EnSPWlEsWMqM9LrCH75Iy/6+cDSwULGmS1BpmQtphcT
oP0rMSLAnQPZaHdEbLM0iKqpv7PMNnhOZyOwTioex19Ry2TrgJ5WBX5QdKbmkwbNOg5F7SYYM/k8
2e1w3yGG4gzG7xMco8TNPvp+ss+96tzniOUhmZ5ZzVizxcs5cbZT2rTmcIg8TmJahmyTRKZiWEVO
JZKP3HQ+UIhg69XlIcyy+ZJ4Y/+jjZV1RYnfzeuur4KvFhTTLfDym5QSGuBjESevc2Cqd5Sr/Y+R
Pa5vEEn/hTqInFGS4pE51aO8w0bu5etxgnmd2OF4M8taDLSK1vQloXncl0VCbS4Bsl96zUAAbFU0
PWHjYsceStM6G1GSEjeZzKBambFF73MVFvsM2zuhLUH0isUOHYXp5u6ukcx2YQYwB55EFN2Cgz7Y
ZVeG+3jIwh0rXPdowyjb6bjQyWPIc+chj8IZ3RO5unI1TZGBP0sYHVHYTCQZ5Vql9zEJ8lH8ya0l
07ys706OV7c+3AF17IIUq00jnHlllCXbWgUMvGalQlAyrS7roMq9WFPpIRzsZXftZa72hFiU+1TT
m58RaKLW9+I8K31rdqoHlQ3tUUhX80tj5I/jZSg7tKrIbgWlrL5ywzm5BatQdkRvyv4lQwUNwM1q
3RPrJx5i0TyN2B9D6R0Z9gdExLELxTVZ1Le0/bUfjzgUV8wD6NGGkTEgdPH22Cb5QsqNxvDObasv
eHxTt9fbWcW4jczya8DNY6FsJE50hZOs/VXUpoMnjNbjOejG5NCbhdrM3pSYB0bq/XsFyuLOGSCO
l1Vhb4G/1QAwTWVuRQmVYTXGgvDUtgmTZ6Wja+rvZ40YYWDLyC3bnRR9fB2whN0xXpxE9sG3C5sJ
c2ZNkuYKQAU1/lmfCYhEJecsOLywYfyUi5JywWp7isTBYaQljKfQ5TUQBawJb32wmjHcDCSxw9ER
oi/2QSEWzUqAj587FMurIY9Ta6XbJk9zbm+z9oEX+VUIN1MWol5hlCg3hEPkeASXrM0oXZxtODaR
BS04BDNfZ6k4GQSF3pS6QJ1WWleeQvts0G0wPlbgT3qNuYlERHgxir97N45MVnprCtaFW3MFWoXS
L5pdTs66aTqU5pCTtzE74iPh5gSTJ5M8mKM3nOGjMa9gnr5jwN6Bzc5ndXIa1R3pMPPrJAoLz1zp
2DsnKdhteM39HHFjpuT7sb98EhrHQAaiCJW2tU4csP5lnDSPWmdkl2wYpd8UOD7j0RYP+CU5tVz6
n5XXWN5KdxIWxcxzkQmFrt8bVGB9l97R9D57Vp3BVOTG1kqTmO3w6jD3QTUmEj9AjuEnkLzs1Yge
Yl/PDqOaFGi7lpTDIyqDaK33k3eQpTVvjMxhtmYkxtWpcExyPOFztGr7wGw23zhsoLBGWk13Y3up
viFrnqkBdfsPk1SDF5nbyToCc4dvCYyQ7Fr5KKXdnarBWchnYcOZQiwCZ2VsB9ovfR5LcNtpON/q
KXcvEpzkbu45G1Pah31J+sSe9E122AL+9iZswnEJ1e184pRzf2hsWF9xqi45mZc7XCfuKa2Nd5I/
EOOGLKHHIJ/plFW7YQqLgM3kj3I/ZBFpwDM+BEYsGX9tw0y4UV3Ngy4UTzxEXLNHnBGP7UiMrlac
Y/b8t0njUsbreMH7IoVkiaRpowNgWSeW7HDRufmLKl33DgBlNeEzLtoX6FFbw+4YUKVjcStApKyX
GOVHtg3ZVzNZ7asE1v0gcZDcY/QNNxMV9TZjrH/Tzy0Wbd1qUN2lGssW18g4dKO4e4gtk8l51Jjv
ZsMlbZpqOI+GKm5cUTUskG1x2yygyLFF79Pkw/QQitxx2XuI+IL+uj3rZK6eG5tCT4/sxO+TJqWX
dDkys/BWeE2yj1GxMr3vpIuUxZWopImdRrFmGKuA4POjnlXRNk+TnIIuC54i5hLRiqzd5m36piTP
Wh+fjT5t9giQFPAaMf78D/bObDtuY9uyv1I/AA8EEGiiRo16yL5jl6RIUS8YNGWjbwI98PU1QVn3
yroun3Pe/UJbosjMBALR7L3WXHnbgQmzq/nJ7m2Lyi1ZKOga4jZc4dH5RHHSusy0YC6EJi+cZ9dM
GG86ugKoEI/01SxwyEmFyhu38xrlTPRS6apBOeaO91FTLo7GZbZnRR/fopRamB0tluyORuSWWiDn
Wgu6ZsKoPDl1+9B2SE7uQmqocAtM7Sq4f5OL0db8PCFJLw7U+ev4RTqEDrTrtnQ7VqLUpP40l9hx
ViCpwD8KGgUYdEe0s+Y4f/Xb3t0G6VSs0fEwBUd0gXs0PQNU82jq9oOZPw3jqPegZEJk7biLuJXZ
piuK7MGGiLNxCu/UhUa10W4dr//ZHxdt3E7/cn8MEONv98fF1/jtJ1qV/PiZP7bIvvxl2dNCcafP
/qddsu//ghxHKdf+byTV9669+MVzlIe3zXM4XrFN/q9dMkRgj28sP4aFDtfef4Sr4iD1510yKA54
v/w25dh0nq2F/vHjLrmzmiieo9E4BvY8bmydZW9OEvBIdJiDmWKRXfbQdqZ53RBXO8BwxHnvRnV+
M4MFHNdCEKwRmHH/1etEfjejS/6izASzUkiALHKUzmBTWQYtSqu5+JI7gX3kgGDdodxzsVj0tX1D
T92HXpvklH3xfLmoxf1HyDPZtR6hlpr9W17WNWLEKH1uEX6+lmncG+u5z4qZaIFqfKNfno/wkYxp
RgxHKPFmVNQcVnbrhem2cnXKDi5lO2PXOabpyarJX7fAAaU089CpEh51sxg6bMxqwUw9trZ8uc1K
37PXta0SrFl+Yu+1iqjejlEQXezE6/2tPXkxvoUic23arGn5XjVV9Vq25nzbQaxad3bWnLEdDu/0
AIpXCd00W+Ptm84UpPXDVCXhmxUxOeLUKlc5827fYfB3O8tE8eMPt9Bey3uqICVGDR+34WrKB2+f
jXF669v5+CAzG8wFT//UlEfPGzq67Wm37ouuXrly2g9W7N0j71YWm7r8nXWcFvqYs+VzBPVKLJiP
cIAaoNgNocfDZAMzAvxIcAu1fKcNvU0C/uHsE2gWHOdG6FM/swyuzNBRIWux9i6+mVvMWsaUPZOa
3j12MkU/0YlhXnVpLz7HXhp8bg0K59Xg6C2kMuMyzBZt6AI9W4l8dz2MwXyZQ9G9ZCnh7GtH5fVl
IEvuTAm6/13R9iY8hOSplFABeg+9LLJtRbs32RSDoogOeLu/yYyxFivwLumb/pCzNSOKXpz1lHys
ZGi+JEmWZcBdtYZmqu0Qk6gqxIGiR3yNqtR+scI8flALMhYDvFc/iorufqcjeRYWoeJYQsroYNgt
GrQJnafV9voAVox0QdID1i5otFejCGs29Ln6jVatV+9ckwbdSuDYj2FoaHVViYu1FatQaXxOQtu9
j2RcLAmibBjYr83puwQFrBYOS7oNTZAByqHFo3NRPHEf00+0iaN7b0yam0ZM7JVQj6utKAe0C0EB
RMydwnzDcC2ffFubrFMtOAxD831RhvJG97Irt5TBqtuEQkpM6H3OU/55JA9SYv8MlYJTm46UENGb
97HJf0pOWG27GlU/JS7NUkVg2KUw6du2KwtTD4SKYSFc97MZXCdIlNMpcqLkoAf3XvhJSt6SN69t
O0bXIGv1OGY8PdsGhs9rELDnEhlZ7huvQ1OzTiurpE/dOI8dp8JqNcWCRRRbJ0Ll2LyVVT6C60a3
LzWJSuC4UdzjSd2yNUm3vk2nu+Z5uQYNKohVjAzo0xgMdn5xu9ZM7r0Yyb3ayGruzEc5N7hoSBRx
CwdDpTYOQ1c/S0Js4VT6CgJpzWncrvsTXG33pqTQxfYtRfo5ZvO+6vLpgZ2bdeySTAPbcULOMU32
MNQ2wgPYt2uZQvsMbJVtQbfkGwIUAEPTBBA6uoVeQ25GG63MNr70yYkCM7/JNvS+8wK9VbH16lLM
5XhqnJLEWnUauAPJ1aBNXGNYj1g2niO0YscA7c1acFl24J2au9iUr6qrwg2WNNpsQ2/ccCIP6GIx
W0+d+VII8NnQHbjJ09e66c/tzDUMWvNMYCcbJEKnzJ3ZRJ9Gm/JBlpTPvscxJverd1Tc2Ra58NWc
aoV+NHsO7frOHRIg77r4TGGYtsJ0BoNg7nKzfOyX4PJ89IivNgGwmUPab6yCXHtOUmzTvQg5Kodv
8L59o3FjRe6NRntwqu3m3CYB6Drl93vyZFBpNdAcVpLETtSJaXQCMCtjPl41v1J8b25gScgdmzAQ
IJ08u9ztixnWAJmNrriaoy73hlMYe7lwVFuK07cTZO2A8cMuy4+d6kFPk7pSoqZQTgs7e4CiNNxR
P/jqlZF5SuNQnGcSG7ZGQ9kZHPQIgREsI9EsPsPviSTRcEMmFZGro2NtZxIxNqEbTrfZiCJ76kX9
aU7Dbm04dJktFT840C54JFLEAX3f3OZ1mq+RIuSPfRYED+wd5Qq9VrJySnNC9tmfVQAwPrWIN83G
4C1qTP1gVd5wb41qPMd1Y1/dWBWPhNUvVST31CCdQhvL0EkM88VpIr1yDL5EyRgAweKdWqn3Pox9
c+UI463nbpx29jSrXTd42e9uExS387Bturm7DK3E4153jbxljjEuSRt79HyiXF+x1GUb7RXpmVgK
G3iTVe1J/Y7eZZbxbCFOAWSUdlcGYXarSjOjurQ0EArX28bu3GyEMO89jA+b1krqYz7b9n3m22pj
dFN15wzii9PXLvoNI33Ml62203rWS0sLa9cMMJoYGVGKo4j2/ho9ZbHjIFEjbbXdvahqJD69q05O
M0w4dOLx6LYskeDH3aMBI0T8Q674t/B1FoDSv0VX3JZ1G/2v9RuezfjP2+U/fvSP7bLn/MK5iCBK
H66j9a10/N3XLOG0CiI4l47DUnH+wdfs/oLTFM0pxWOSUiyXgvMfVWWiMvinbHEtG3eyYJv7n1SV
PfOnhgTYfYnQlgbvEoILTu+nqrLHhpElg5Pu2CKDWTFZRt5mbkJ8tVZfU2to+8osV77pRe4xsCbs
gIVVKH/NUGdtsgaKMTu22nm6xZwR6oORlYIWZdUXuYkG0m4IKXHw5QUYZiv0Crelk8ljK2kLsm9N
9GtWufYR3jTaIppDWEhSFI2rnJLpRcGVfC0av3pF8wNilQM6qWRDAQEdhIR8K+pe3OYqh7oMgo8k
gq60/GpvkStOFz81lh/BpZqzF48xgepWPXe24IXhMOH8bBt/vIajo57x04zXOrHsI8YhIOaYSrz6
DshOWp5KdDf+yQUO9rXxMZhmRY4nV0SFsRZFmNHzkxOmVqJ3unXaKT5GRRXKXVlWWB9MjitPJpbg
N88aF7Oq0R1QytifZra/9wUWnENjmyWYvLwRt+ES4buqiAl/TohlggamYxQGnoJKv69QUXxNMMVU
K4rD1lOMqO7VDiCJrUa75p/JURBbWjrO2xTyc1R+eAOOWDi2Q8armRwknpKArRL7eBd5vqtGPrVM
eU0/tavXLDH57CpzZnQRg4nLSsYYzMk7vbVTI7n4fSBWNWLYmySI+6NdqvRYxNRA6aYv19MdA9Sx
+ZhjFmZc8zffbmgG16NmFQrUs9Utd5gMlPGeW9o0n6koIwYeqmASGzhgSY7SIEvjByMHer0qJ4Ip
GEsRX/2GGtzaIZYDOBZYDmgYo4GSepik4aw9wwvjvW5zpz9gzInMl9ptpL3Dv2Hg5hzm3yMCHenc
94V6nrLhyi7B2U1F5Mo1eP/geQZl/uD1VFnBlGsDU1VuPRWSAUik5TJq2Q3v0lF2aCMoyoZLdhFf
PQpjSHOXQfRhbo7cgT97bc9osOolXQWAk2fT6nXsIyzLTt5k6HjByoYNg8+wMqSIvcWj5w0VRhUM
uOHWbCtxG7G9HtgcjNzgslra0T51Q0AjSVVMpwL/e7xOKdPn254h6q4Ej+WlrOhSHbyEU6mR9LBC
sNDxvuN5oRLni48XXgyJBsWQM2IC0TVfx1HyksVscO/6ZZxMaqxeu+UW+XZrH3N2ra/s0/hlLeE2
e+VYpEZL7CBTz069Qvf3iroheP4YwrHhcX3Tpjwv4qTbZBmkgduPyCg6Lslg4cYecYjf57OFXzxK
MPuSA6meicjmwrVlZaMPoDIMg9czy3NWuPz1xyPRZRUR2PHExZuijpttMnHEItavs1fXB7RMBLO5
VLme5FAGz0Zi9saqahJ6DURS5esM6GyGJHZSWwQF8T5DWtCvhjjn4wCQPcZwrjlukm3B82CaDDDD
5iFv0p7rE9QSbzlE/P1kLlAcCVzo6EWlugxlpi6zdrmFbTzxG8pKsBfODB9LYec1kX2f6J6Tp1GT
pbJtaQZtKBt6B5d8jJ2Z4Zh3SKHYQNczECARqY2qZqzDYTc3UxdtUWTzhFl1zhuabWas3CqHCMH8
WN3g21bbeKIXbtN9uaaK6dkvUgOftICiuJIuisKUyuUmaZkyTDMQTygD8AtMuRyvFQMdugM1wtfU
DPRBIW3aU9e0njybMe+mGUogP0rq+bHBeyEPY8cUaXPiuIxpyoiig8+NyixDPAXmPFensPScEagl
rIhTjs5sn5g0uTpppfO6H7hLGRm9bw2qwnqLGI8xFcAFoSLjztzWuskAaw/oOlDrkoWhu0k8Jc40
kE5YA+dbsQlnvIgGIzgamOqV0FaeiNzV4hYQqHjKc8H7SfIKw1GvlpHjQUSYTjKp+fVWGDRfwxRp
ZRw5jG7FS5DZqZ7r2BHJWVZdfeiEZ+rdx5iXNBaQLbZ8Zoziy/jvPFfcdnGvnh1HeHxOc5n2+kHo
9qFHGTnuaGoxv9VN62+yyF7Go1pc6pX21TM2D27ktymNzl2cQ+ocGEoO8mp0QX6D+pfTLFkQlTDE
vaR/uc2yVCUYNLm8aIpAT/N3OZzY56FoR4SS2qmj3cfMWpaRQHcOF/ZZxHZRPA9hOKUvDvXeeJ3J
ZZZCzhLvZdQ6b4oowy22kRxQa7ekrJMrG43qWFdwRlc+0bsszkHIDKyyWdwOs8NElrF/6NYkVFSC
mlFUiOjOmqLpwPRj5wSVhAg4oeyURQk1r5zVOSdQla6CF4y4OZtYZQ9zkv0GrBkM4zprjfCZpbQ+
FK2Tc4sKOq2rtBuZa3km603EFFMSWG1Rmbd17X4ti/y5DEV9ArON/Hw1oUJkH2LXTxB6j6VaFqKG
09cTvYvqzBrj3wvScnHn1r29gz0Ur7QQ7S1KMFgPHQggKlfRp9jTTkZbOfiiaaYZVqkvDbHM67r1
1qaX8AxwrhW5AduvBegSddXZS3AyB/dmhAkZnPtLQaGrqkiJMhAE3FcScWzuXQNLOubL5GYAxmn2
5ECmSCfJmVWBZ9vSdUmQgL2OnrnKN5ZrwZ73mtaheq9lsobLmx+E0KitYlmR9SHTxaxCcWTlQcQy
u3E4OTQB0zV4ywm6VVFFE4GEU+YdFMOyBpTRLedX8Jbn1pbznT+23qlJFMtcPGpEyUaFeX8Qn6To
yxvDdIs7/H3+ieQoRq9Y2L2RX25pY1ac6tFirpLUI2xk7ImqAXCPPNJwxrdMlsmnycs/ycTT2SXj
IP+g06jYGi1HS7rLaCD93u5p9NTq1wgV9KoZqN+h3rYWLXJMICAawslI1MHsdb+ZwGxsOZ6P0VrK
hLO13SQ3fh0l0w3Xy/2atH6xm7shYB2PzW0YD5+USqodBpt67wXDF6ilawdSyq8hdt9r5GCiFpm2
dnbqIahuHUTSJpfVVYW7dcZ8fEc49mQkXrASA0dvP47mh3yeHBSwXb4rJ0PuA9V7l0rFchvq5kkr
nPlo1dgZbZtclzctoWSbNM3ZnwxRtYU0FZy6HLms1dQATTk0HlPVyUtpzyZHZsTHfaqdx9EF/z9q
7W8NNaerhBlr4a+k99SCSHzzTwaJR3csAjADZF8gITfcY1bbE1himrOkpx1w99R7f1khEK/hG0ah
eiDxZxGVTcZrE4y0n6ta3cyJ89DFubVpi8K8pnVCMtGUtZ+s0TJoXILhWRm+x8+BDnJ/beFDsy+x
rPnUjoXeJ3FbfkYhTYsK+S4pRDg80ieqzhQ98OjTCdcUh13hwSSSsJCcaZcQwnMc6Ai8GWn+eTQ0
h1qU6vm6r+tmB3dOlqvJG8wVFYxubxJusnb8VK+Z/IlWcVBNBFg8j6Qnfa3Q6BEhAKpfVGa2zFYC
4WNtvwW1iZwgKJvxMzviLbtrWO/wX4vNlJrpltAjmGyaGYWZf2lfk6G6MgA+HMwGV1keZdOmsaaJ
m5aJ4YI5wROrCsYM/fTG9WuuXevgOh/STGxDB88Ue3ENQOQaAxOApYJJJDt4M8ELX5n8w12UWJq8
ebISAqMHpxpGAdkXZWgjG3Qjg4mpjt2Dn3bDs5E2JFNNbmChTe0EibJVywkE3Izn1uVN3PBcxPBw
niswJscZviDSFYh589zO2y4y+WPixTvXysxPQzj6DHEbHbtxgqDLxo+JNI/Vu0LycEEhc0v8YfNi
RKo757V/45LGt2bxCh5zKvOf1dC49arj7NKeUq2n+KWh520e89SFd2FoMVsdrv1E7WwMQHrAXm2w
cwo5uAV3QauI/6t66HkjXhX/FegAk3qAIRjShDFMNFnRrNczPLyEnB04IJk0TIQ2BjwVxCRmZ7/6
Uc6qa3VIV9Y+MYXhDjKzk581ggW9g5qM29h0sCkyeiwFcqpjDxrVNMzZyTZsRNxesjbFusqmkynm
8TpZg8Dfo7J1rgfaogqe8De2//v4v8Pfyr9QM34orn5QDHJ2RtQlsZy6viCk5SO59QdFFpjtqs5r
HR0AF7BghiVbwY7Q2qEGkA1nrikewQL48jhhWeB4Y5coxXtp9ddOYltYRf2gnk1qj8ATP5ZpnHLx
3ojZ04WSHNxdDDJwmwULV6Fejp6odLN6YxDGx0rp0Uy6QSLSfv22R47zYbx283IoKaZqvEJRpjXU
J/N4vywrb1Tl1aWYGz9FI+RVbMh+aBT+xeWwfm69cTmQkUrUcBh6XUJ8/9x6i4Sh46n3jL0dOdwS
4vyK6IStgE0UCfICSmSuLhMgLeOxsAD6Qn+PeFtT3M2Po3K5WqEt2Cw5MyEohFDxv1wsvo5eRkH8
47RqW6j5V0O9pI7gkA/jQ0mHOl/HXtWH27DX9WGecl4dTApnSTedcFqCLc6//v2HXSCiP6pFufeL
UNDxlgAA0xPe8v0f7n2P244cawBxRdDjG1DTiAEgclMkaDXaED5ylRdbd2z0G3Eu0xXNznhF2sC5
HTLjNS/0v7j8i/X6p3fksnORtgte2xYsnn9+R4azsLxY7Q/Et7HZcw2SaloKSc8NhRkugrEcWgcL
/JgUwLSqnlNBQRpfthc1C+m6aarl5MRx5O8v1U+a36XC5FD/sqgzoZ+U/6MjGxFoUqFFOASIyuoN
We32+DJLgEOfqV7Peicpg9absnCy1F0NKXvUv38Df3GvpI+Hmzfi+Tbvgu7zj/dqiFxRzlYbHhxY
8EATiiXNuyNJ07olbA+5SUv3YB/bcRSe2yqYsQZRLb6FSCqefLMDrlamHL7+/l39xWVRMJYdk9Ot
K72fBxCiiQDBvgwPhcEJSZPKGdKKKDm6kX6Q4WSxOCB0+cwZwujD6vXvX/2nVGlnuRi8PAnXPpJn
Ls5P6NpiooaNZpRrMmVUDBKhp2px8/g5CJg8mhzo2jT57CdMf8ZRLKfUQmYyOfdSV9YdxJ+ezEsz
bcPoQIx9fah0WCS/AxbkqF/Y7Ec+3vA/iuZ/pdhAO/C3legzDPq35k+UhW8/8l3TLKkl4+p2TN+R
UlkCXfF3yoL5kZViIVBGNyHlEj32XbHBePhecXbhKuDap8JkLwsdmIb/+3/+tEg2P/35R7Y4K8Gf
5ymymUHz8yCyeNo+pe2fRp4OWj9LwtE951blizXFcwEBUQzImdZdw5lEgxj4SBhOc7sMbstiEpzG
HJOwis3MSUY8Zt/CiZuGw9+4NeaxJlbVD9AgUdnscYlwECHdOP0WdZzXfS6H2/ZbDPJkeeg5AWrh
+dq1DYknF4Z0806Y5wPIGS9YC8sgbjxyvV2GLRespw43lTVPj4Y/QxWeW4Bpa43r09SrxS8/7y1R
g+8sRpE566Qxadd4nHebQ6b9Tt/DRkgfax2o1yabbfpjyCQFsqg+qc5ESRM0RUnqs0ElouQlqIRs
R5VZ8b5COFOwrS/yLXQr/y6FsvyqEUVgnCiHL9iW0AjSPdqVHWcV7Im44dj64Uwu7Qj6f1saEInm
PDsm+He/uI2jP1uNjTBDlOwNS+W/Z+N065s159E+hVbKl+Cm71z7LnZi86AU8ZFtYqv1iAKAf2Mr
/UBYWzSszWkyN+0A1GyFbFrlZEuUiNhkAId6ENRgmdXy+4764vMY5cHRqqdhP8/e9KDYcZ+QMi7a
jxip8SqgNHGIsiT+ynhwHpIUtgElTcu4w8Lp70fHpUZejgIBRVs8RbOHaNrv2MDNiN173EgomP3W
upFOb70YZdbARdKWfVfKsNuoCoFz7nne0mGYzxnuon4Td6QAUC7ttsaiXxtgV+xsWNcH5rcRV2Kg
5y8GZ6IdgbzGHhvSfJSRNb8jDPGOUSOqRyI1g1vQMuWlNMIu30virO/GbnZ7gZWyl63lIhb+4790
2GUf3RjO4rQioyD/IF71Shb1KamacCgolTVDVm68NtDssun30cKEN4H551uINqk+JGr/M6P+Wxo4
mm3MOf9/WPGZFmH3nk5/nlM/fui7CA7UDLxsnOTfg+y/9/TULw57HKZZT2EhFT84RWz1C5sfJcDX
EKxgkVH/4wyLDYV5EXEcB4nlp36aUf9+hv3zBMtWi8wsy3cwjCiWAuunCZYNYlT7M1jvXlDLpScv
vIdBhDNjHMZ6rD116s1fE1Jzj5WWmPeANSnYan17qL2839ta6D0qDsBcP1zGvzgh0Aj4H2+ND8dK
xKbHksL8eS84Ns5E0KLvHj3Yu+WdUql5588uWhsmSSddiQ6up5CG3MZ1sGpDdENG1eP0ReIefPWL
Qjw0wJ81JVIqTt4LGPPwdor00DJhN+I1j6KW+ELioeYd8mmDOpaT4DtHfuM3Bubw1vAP0O7mjTTT
oo2oCw0yHRH9emn9KSLZD7GrkScDKayZvvpBQ4kA7SyyDwRk6kShVixCu2Q7Em/D7B5BclRsk+5n
4XafVMkeaqg1MSXM4BmiwyHRv+ZTboKTswFz9ZJOCQmTaCBouaG52PWBFWUniAlZugMzkmVIzWwM
l+Q4IYwdCKUNngHvGnuCDeuTDhOx7yiIvZM5Wd+p3Bk3btKccRmeKmgCT14RjzgDodx5TddiXY56
IsLJHom9mRmXeGf3Vkt7uhRhtDNiKASIwER5NaR6Ne2EVKUYdsRmTrPos4UB1FuZnTPcGKi7HuYu
VQTcR1OzHeJ+vITe/Gh2YXZXT10MMkUVeGcHlxhGPzXkr3WDjVtVEZlnDogLVmYzdq+mn1ZXkg/s
dR74+b3TExFPRFIt0huE6I39KQlrJInCiO84G2yxJlg7Tbn6aTJNIPmRXRxHlzRc+l7FrvLaKF2L
2iUBHNPJlpB2cYDIX20xgBorim2wE8yqPOIcoXikQ/eBq67P4FbqXQL+90TYuzpxsPVPkTCzcBMU
Zva5akXzVHpYFfQgAK6lnVE9asoMt3ZhjRe7N72vIf3wnQxavUXlCCTE6tt1NvXEgMZlC8sn6uVu
pvKgVxXVuLeUYb+yrXpct4y0FQ324Wp6+ADxIfZnZ2i6bSZjhQiMSCdIDQV2ZtAmc9Ha16jNa3Sc
MxUGkoYZ0lA0g92AqHxaz5S4Pjv8kjVYEdZSX3VbTNTizQqTCFf9NP22oFtvNCzhjT+O9UFSngYY
jufklZV4rtcBsqWj1bsJZ7DBnqL13HpkErECo2n0nKbxV5bOPXLMFIHcK9NW04YktZCiSxMYT87Y
IEwj6qc9KvSKZ1U5pQOa1cyOPZbhZkUnKrqEuBrONFK5enRQ57XsF/dSD0cHHjHJS34g33PIAxTD
sqHGxVoVF0WMI5dv1ukNXP9gR78ZIogfL08XbQ65Ctlv9HtcEjYoFMpQD15hxs7eS0v3mLb1JxUN
869eP48ELzXyqCAJr7Aw4QqjwVLeMhMOr32EvWpV+YBmV3k4F0tsc52SpQnVYsLmXntfisBT3cbR
NaihEspAf4suVB5HgT5/BWuHorLo2yi/TCV2HEoBfX8sQ7d0NlgLcKclmJXuHExa9aqPQ+sOyefw
4NY9+U5USPqR3kOT3RHZB2zBotuG+6wvSaVno9FvKlwqty7TwTmPKI2uuiDLn9kIaaB+dltuR9Cn
N8GihjQghjYbb9FIxotakgwxI9uIjmhMc1FTuh/CynrRWPazU98Q5xDdx9aQfqoWLaa/qDLDqcs3
eTXgs/gQbTpNmr4nIemtNCEWWSd2Kvee0nJmfAaLjvCT6rW6Wh9yUO9DGhpWtVvv5KIYpeanT1Mu
hlcQK+iEF2UppGZ9wOyymQ2Xdme4KFDNDzFqu+hSIwWP3Rv6+tGxS2SrgXCjB+FY1kvZ5/HVm8Zc
HJq6Ce8x2VYVSoI2zdZUPZov5WTCeZJARZ19vehlg0U5G2mlofOKsb9p0Swj4wYQFJEV7lOPTvFO
3BnjosN1+oaXg5PT/878jqzViIad9mB5uIbiJUJlzhfJ3LxLJjs51qk1bvWi/2VuGI/JognuF3Vw
T0j3zDzPQ56ihltNdCzRAy6Qb3ggCItJ5PUu4kNu7E20XldmgwoZuR+C5B6nyrn16Qwtt+1g+NE5
5zSBUcvmQ/bC25Lm+p7YCOcGX5LlRcrIM3rS6phwWLhXdiR41fydbiUNFmK87DuaPJckYOqnpH4J
Jz9AM10eFY2NlesYoHrpbG18E0JaVcnkdnIAwEkODvzAPFp3CFyQ+w6LdJuaq7kGeGZtKA+g36z5
Evum8SVZpN+1ZY9n6WiZrZsqQhrukJTVL3JxOHjeps7Lkbpg7f+aLbJyRqljr+WH2py2EcrzaRGh
k9EMRYbltD7b/iJkd+wIxbpoZk9uu8mY5AaBq7J3Uw2hfDMien12k7YttnqRxMsPdfz0oZQP5aKa
Tz4U9O2Hmt6PvIGztL9IXT/09uAO6lcweukzh2JuF3wWmfR3hinT62S6j+kYOPvkQ8Vvk00ww0OO
7JvmQ+eP1M66C9ICuWoblV+mxRDQLtYAtPLcL5g+OAYMOym+2I7O+Z0YCqzFWoA1Et0q+qT8xteN
uDRMZzxFiyEhnBdvAvsufAoZwbk0DT0rfcOS/NoYApb4JGy05YmqTgnqam/FU2dgjkTnH63h5oIl
NkqdX2G/tbck9E4P1GpjxMk9EXVuI7AL1LTqd13TXEM1sFjj1L8BI0bQcskjdoktVzgbxI5IHAdJ
ExmUmESJvGDUA6x/72iA9a++0hVOntlQJ2SOwKDwLQPJy5NS4duaW4lEqJ6PfuJ6JXLJzr20uTnL
VRVnHWQ1Y/Y44CdJf6Gv4KDmYh5J1nUhXWfN9qR+sRJvMh56W+Zy37HoP/DUzhAmGAPBVpWZe+qT
mpVAAj/TB8BrctyMQxBB4fAk+68ys/3HcSR/mrA52HeSpsLZr1MmWsLUIOSUbpbc1NGUjgQxeTmy
cX98pq2gr8javS8a5i9kJnTmqxTo2bsUgXHySYIu9rqpsTQbYU7vMxIzS4b2om4f55W4t2JE8ye/
Aq0Vdh6UvMKUNN7N0DySZJyZ6wLm9aqxO2jkIxp8uz27/mRh3f3nWPfvHOuoYYq/PdY9Lrb8v5Rs
/vGj3yWb/i8Ov8pzKU1xWrH+mwPg22TMcHxZKux0fpbv/FEus51fLBpAmA9tyjQfLqb/Kp9RY+Ps
6HjQLlioIN7/J4c7tm4/HaGQagLRkFTUeR+CJh3f/6Hx0MVWWlCwKQ9jT+Fsq6LUHtYFpN19BHZy
5xaW7NbYR/0HFdtUra2YTIqBcI5Nn+E+gU3ToakJYvvFbaLpvnSt4rFvXNIYpECUR9G3oqc7O4eq
Xqq4imt0jg3wWl6KoX89LIbZDaAQzgoRAcz2xc+M6DYVJSF9ZEPap44cCb3VZICDc5mmQbB/xuC9
gTpY/N7kJJchaJzkLjUaeReJZLxPI4LJjHLsoaRowz7VwOgJLnAd/DCGHVnRsYcIBghlcm8sow6I
MrAQuHW5bZ8G3MRsPOn5shXS/auZ86Y2Og/a33iVxXIoAbQR5ALMHhihBqnpudn0TY83BoVbr1O3
LdNtbBCmFZuUUrecG/LfgXM4B5Td4z1uCgRgggC0rzM+TEzMyAReKjiB/F7e2YvE7/lSDGYKFNwk
7AMaOoDEoHiqGr+8a5u6n874skKoL6yhrA6RR7RhlmcCaKlYfBAzBLqHEX4OC1nFhSQLFWO4acMZ
ZP4avYc5nqsvIsRWG2S0GTlt1abYBAod3obTUbnzfBh3zuwdcXRXd6nQ6t7BChddEqmcQ8P12/Wl
VpfMjfUe+NLS7lbWboxAaK5jpyDFRWj/wUB0c5ukUb5Wk+8ccoFuLg9q5F0lwTRICmziqtHKjZ1X
3qW1ppc3y3wiGCkRJ1aDYU33t5Ob2LGc5jAbectnFoRiFLH+dZhz/Vqj0X2pgNPZazVrUk+c0Gm+
CiOH3Nxyel/5w6QexgqBxjRJ9WjVcfgwojBmIRprcjac3v5iBSxSK0aeg6AhMoY3H+EK0bRCXarK
hmVHfiixZmNSkIjn6XY+dt1kTfs46IyLRXN+QInoUVclnqNAK4ElDgiekzoDXNOqu3oIr1PYqSNq
Hipx9oozpvup+H/sndly20jWbp8IfyRm4JYzKVGz5OEGIdkW5imRGJ/+rGRVn7DlDtepc/33RUVX
uEyQIAhk7v3ttczZOSd/9a0Z86aJHfzV0fYu7e0YGRm9buPvzvelDT5fWuKt7o4bl0Z5cmma55cG
Oh2anm564IPjieWlyx7V0oCKcGm/F61uxVuNlk64/E9iAqZb71MNeJxH2UG3i85+WQ5Xqe7uJ7T5
8bfG18Wl9Z/9lQOw/koF8Mjyq42v0wIu+3ACoQQK0OsthKNIFQidL1A2e7Z2gY2YKjxrBqzWM+lJ
nFJEExiASzZp0ViobjLLZByaa+jFQ5/qHfh5G0+VTjmwjiLw0NNvxTWucxDMAbZ0YclGGMrqiElU
vIfDLFLiE0Nv9ZtZTcBMwDsd6x4sEou3h3oJrpVG8WdskXCv1NNpTAH1+xOCdUfD+1sWk8BTje8u
JYK2iBBdRct+CkyQ/ynw/7lR/k03T4+EfOONH4/7QGXuiymh3mZ9368WFCa3YyB44tuoBbRkAO8v
kzIO4gEGVhpuFcgI6BRih3ErOGKYClgB3bALj760Mh8Pk/YZQJwIbjMITetZ2w4c7T0wtQGh1T37
UVsRADax0wzmfeFgTEiYcd7N2qIwGfwtMwf7n14kCzm6hTqi2kCA63Zp5FlpK0Oj/Qw5MfE9vmpq
Fhd7g/Y4gO0NGBCt39iUt/tK2x7Si/dBGyAq7YKAJtIekFmwCNGmiEw7I2ZKFKvej7/WKcD82ITc
nmvHhBX22CZULT9RsBoPbOTUMywAxYUxooPAUdFLr9jPZLC2SpKsGEwr+gqjiXEhVp/O0cscqj0G
pclj79VjfrBLxwVYiKYyDFmsA24ndtn0oOtYusK4Nwz/vm+wV6WgD0hs4mtSgBW4KrzFv5kv6gw6
jGg0Am3UCP9ya2DZsLVvg9ZVcsOEQPtW1Tnw+4UB0s/g9Mqd2Q9yFaVWsCtJie7rZWB4YIzEp1Ab
PdSgybFjtdxUSJWv5naUh9Iug3ubPzh32gTSoQTxiSqItak9IbE2hgCMRR7SX0QirnaK4B5DLxJr
00hxkY4wxwQPtNUuEkdbSVztJxks076xqcGt6OJOUuNUoDPUUbD3Gz8/GRIfvWziftUavfGiGtF9
4oqrWhoUY3MlmLrztA5lWhCj2FlebQLFme4LLgPEKWKyuvVkJs7BIoi1GiBZHqVWrdgd0hXSZ8Qf
iKCSu72YWSQt21Pla19LptUtnpa41Ek/POACD77Df0TcGbbBdRtZX42wf2d5HX/2LITvmje27hz3
udK2GH5T+drSBpnBJOGzaKtMLJ39ZGdf2XJ/CyymVBdtoFm0i8ZO588zVI2N0p4a35evkLOZD7XF
Ea1evpUmVps48sFkZvh30LZmh+Giv6Hl5myZyjbvCvJJyJPG/L4yvZsqVtV1uVB51eyJeQURAbXO
mEg0O51ZLjdM1kbbpuy+91nyNNcbllKsL9IFTc9oY+zxyWdv3EhYLQOq3FwpCerFDJYf5VCwmnjK
bRN8668WMiDD8mqy2fiBEgtTEI04/4c05UM/mO8RMqFApoTWDP9LRT5202rj0JQL/xTOzAA32kfE
ZvdLHWMoWlAVYXCPuHc2DfQMPEZBPIAp0W4jG96iO5PyzzzzOdX+o4JrHoUCTiTai+He0p6kRmR7
ORSMsKqJeU9cSqa2KhXolXrtWaI96jAtRxkdDw+W0ouQKdJuJvzew9b1aqXLTeVu0g4nicwpQupE
ZRQ9ElvyWyaFSEzRhmtRQFmooErthGJ8oAOXiieq0caoHnWUX45IckxGYrRUquctMQ3TwX8GZ7Hq
KDJucYZS8NZGKlYs/oNpzDEu0DHbCW2tsir8VRL0teRLrwtJJFvcUFp21mSTuES1/QrGvLWR2ohl
wxSc8sZ7iCb2W4yWuj1NYojxPSPMtFxpuIKbcLVny+GRTi0M91aHhEsRQdeLzdasbqnOweNF2WU1
9bubxofWKotVYghw6d3tQnGtSFRHexZgUFN+lQUu2aWbnijO3jWmuqUKdma1RlLGQ2BRKFKm8wzK
A+srmEMGa5BA6a2ya8N0wTOIiKzSSjKvxPeYUP2zZsqpNBLK5c6SDBj+78bv/2XjZ4bcE35qRP3G
fLuuewyCH6kWf/2t/zT0gv8h2WAxCm7/hWpj1/V3Sy902L/5egMXeKbNkBx/9J9dn/0/tLAsEXqE
aPzQCknE/R2asHhBEnAwyy0rpOMX/qvQhK0TSj8lDU2Tyg5bR/JmtAh992OCidzo2GN0kkeXigXD
HJlhPghEvIh4eMLWbRYAwm188dYZfvRE4lviB6siHjFpdOoo/EKF883rmoz3noXKoIuJBZO+NGqe
Au6UGz9pXMaPhQrXJgO1t2Zl9D8yCRtjSuLixbFABzVlkBJpJSJQC4cNHcK7YUOsXq7NWMhxr0pj
OVCA8h77qp/+AZz4ITXCGXAceoYup4Fzyjb8121vRpWeRXTTHOkxsCXDxLanWB2uLaX05+J9/3SJ
/Lde5W9nnC6uTZ7OIR3jm+JDmJGJFjHFed4cR0Paqyku3jRVap1GnIM/H+lDbFJ/Mp9BUJ+EjUtP
2f7wyRZi0wtl3QJ8H00/i7odLQTQzSgt0kfAwI5edkUPfz7oh7HPy0Gx99Eo5mJimEn/+U9VhExY
oAJoO7BaoxC2MvRkdgd20N30k8sq+d8fjZoKMSOyoR7bmV+PFofBmFZlBgVejG5+rphl2k0eOL7b
vgif/nwsXfT58Fvhg/FrDXwbbTAsx18PxgxXkSAvSY9tMhWk5BOauJu2LWvmDEzwejxVbnv6uNcj
k10HSOeq2WLw7P71Z3aFCLBpCKIAPgWjX99GYXb+XPa0CtqeccQNFd4OF2UUPYVew47/zx/692uI
WWDdBmFiGAblx5a/pENqK+llx8Zclvs6kB0lGn7BDRiQBMJ2Co7Mr1jn/cNxf7+MXAplpkmHlAFY
T3xIVuZxNqax12THamwHKjR8m8z5jSPLFtj1f/6MH45FmYLXD3WAgq/XFJq0+fMl61CgMYckTBn5
I5DFZIcPjVjI+SpmxvH5z8f6cL+9HMvF9OI4gGqd35LdWaloTlG0Py7zMpob9mXlqUjt4e/5+l/S
cT+n4T7mIfRncknV6Qi5vlytXz9T7xWd9OopRQKAiJgyNo2klTNX0MUG231M0rQEUwLxBFiznrHc
sjNLzn/+rB+uHf1ZYSJyo9PxbexJHwqKdOXyVC9bj9HAZrkxEYOu4sWIz5E9l6c6Duhjevb8D/fz
3wOoFFCZZoVjHBADFBoJ9fPXOcQeZf3IB9EcRPYnmXnlibrrfNOQL9tLu0G3qagJVsz3TrG/jsZ+
Ho6jV03fTa9o5bcGuucJ+SskEGGgY8A+coqWzLj/89n5b+/T5Ysh68bqIBQf44q5a0fj4hvGgeF5
740FnyPXQ1vQX4sKb/QIutF7WzGn7Pu0X8b8DMwdyLON4e7Y57VzFaowOgI/sm9Cw+v8HX6YOsP6
HfrD/s/v9ferNhCcTQorLiuS35KVIsTg1hVjihxDUFfI42DKaVp1avvn4/z+S2TDxFdG+yngnx+f
jalhcVKMLgW2Wy+UmRf290zKu1dk79zHPx/r4+2cyxO2gB9QUnJdQlIfNVxz0LkdhTxu59gmN3EQ
DXp6tl+D3MlhIDbxupnG+crsJ/+LUVbxnl6W+ocTawpX/xJ/WoHpt2ETW2Xwj0UBb+fDU6WQjWHx
y4gOfj/K+egXFjdTFU52c4z7ZrknvineXGYuoH+z96YElWQx/z+XqEVK4V4hboxOIWXIOwXrkwGj
NmuoWyHGQrvCluBcJB1QXZjnD0thR+8DbJqXYC6WM0xdgAhhKz1NSMxBcQbu1SAFN9yuHK0HLJHe
I+PH4kDc37xOKkdrr5vUYP5lXO7nOLL7VUHS4LaUQr0W0SzeqMxGZ8K2M9bsqYrey8Bwm1NVtnAi
K6i7h6VjAJCMTNKj9fCpEQLUzB2xqlq4C0kYmd8q6u/PI9DdlhLQUDIoPUXOezEoZ9yUCtgOLPYs
OYOEKpGkcmsx5ZC+9Qk377qL3fe4plwEGYllIwUrgVJrTMO4x1bhOfvRESyGKn/qvgc+WPcqa/0v
AeWa4AGUJ9cbv/44ZzIo5PBwjIz7wOq4d4qu978sgHuACYTx2dd/t6PDCQ3NReTRpmM3MppTGE9h
bc9nnjPFC2XW8fZyeiNvVFurSsR9Y7dJjuzCL5JjZMaefbJEmZzzOCwRqCxJRsTocrfqzflKqoU7
VGBOxlfKUVyRtZhMsS4KcznQ7uDczega2FkKkTzhDXE+9VKgx7JiUd3ZuUVlNnN4nZF6/dlTsI6g
B6VvUoQYxyKKljHIcwZxV7RX3EcgW/ZzUDEItaI2UZ5K20rfiri0KBPUziv5AkqP/GgKXQcrl3t3
JOGwVjkacjG00206k0bd+I6Zfi08xa0JkM2LOQun2Nr6OiwZnmdsB7YqY/aBSjfLZLKAMct62SGC
5VryS7Wc43EGvhCx9ZpXqhuYmHQNEoNLyTqnTzrQnxkfgPhPNi7RuuMC2wJhal6TMRaE7AKuXqSe
EzUAyNEH9vHTDQwf48mDa6t5bM58jo0iO+VBsQ0XEhqEvKdbyqrtTmXEvOIRl1fLvMF6Nmp5H5PK
PopAVlek5rQuu0g3ntWJs2lXy6mHFXCwfTd6ipW/rR2NVPOq/DxztHUUuf5tufh7JtoJduNA3os0
YygNStwK6xLQ5hkWco7PVBjTQtrEstYmye1dOMHScGSFKoKzar2E6XCbxtAZMjPcJQnQYbDRNZYh
m5id0UOoKsdwRf0rOxV5INdM7xabedBuPC0spwD6RRI2PINtu5UAWVZEoafNMAcwKgDC7Nw2ffYi
r9zOXWNdFbD3RJ+760ZV4z4PKVnmi6lJzMIj+Ew9Og2TB5p8b2FjvTa90W0zNN2b2YPNaxE2OBoi
+NxqMBLluKZYz1PAU61vrK+l7ZxgDZj4nNObxEsBNTne0zBEV3Xlx58Vcfht4szTKSlKbsCOXiOV
1nzjpbatC4TtvZkW3ckYsAUti3ed++0cNCtqxD7IN30Tibsf8Jebw2zWyOQYoora1Rzb2cmsndpc
RUbsX/duwRuqC8cmCD1by7O7QPSYxgIlkRrQvyl6VrcslJxkM3o6MemL4lk2c/xMo2R8nGsmbclw
oetboXidz7m/2NuoJNnv5CgPKYlLBLweCpw2LDkoq+izjMVD4I7jA1PVM63Avt/q5w/M4BoOyTpt
2vKuU6RBfH5pxZGsKksBK69xHs6sRfKAlGJeed3aE37KraiipeREPBH8OPQPTcbWh/h5vilZ5u3C
RRByGAeyPLKxyttOqBe/WFCukbC8cdolyNYx2MZso7zcyXaEWaEVN12+q7LcvWMIvNt5fh9/Ulk8
Xtn9tFFpNJ6ysReQ7HBxfYX+gV3FrawuXQ/cJ49VKJMTqFzYddYY0KMbSi7MjLUDW4TCuC9m6W/L
WSILgdorSjV86Z0qeFfOBHDaq0zrySpd/9M0LuGyF25qQGEbIX/XPesxJJmHZlnCGwZ+vXvAQvPa
rutmbajWP7CDDg/hZFpq1Zi9/NFYQbBtxmw+tcqmk+WIcxhJFGlOaF4TIKpYwlQ+/LgivC+ilgJb
ZEc2m/8scShT0JU0sAmvTVWEJ75UOHwu0HgewqDLUSQ636ZFdPc+rMbj1FbdJqgRigQelwBQakh8
UezuRx8BgwetdgvR0HnO4U7exYpecRmZ2THKWuvMGUw3djmsW/g3+8F1ubDD6sxsFZ7wMrTu4rag
Vdz69nUYg1KUzeI+Rm5rbspgrPeFoPRbMHf52uMCX3OjaddDR7pzHdBwQSKGy2efDJUFpXIkE4ge
HTCCmOybXtA+BnzEsj9EqQbLxMiq7ZwbtQNgcyj2RV75X1yU3k98tPgK5HFQo21xiuNshPMPxXb8
Wtljf68cAymQ3YDLWBNk5pkOZ0bqSIp7w45di6sZkYgGsz4V5qz4danmPGZlcdd4rroNumk62G2X
hOs0DA4l3efjGCC5I2EeXNUMr52znlkNJx7KNy0pRsZGL+GTE7vtzvOy/D10SzQ5jU8WF4AdtSQM
lC9+13wteemtbGtyY6G7oEHqaBq8CrJo8BeNDvFqg5GMhyvNsxa1+8bJ4HeCDsGEXhPDdvt0m5fW
t9EI6TYiaGG4NbS7bQX94kxus37zzWo4MbRNzC3kGUjyZtnPLshzEpfqzhRD95bJnHt2W/DU4CYg
81gxeYqHyn1Woq/87huZjwBpmVNNyXtiwG5U0JdgXTiqYpukjPfWS6rz5DbWTTq6/bMRR8ObI9Pg
S9yHslppSGixmRDXkXhy57LwabpXZXUwPGc+EbQN423pDZ9mBZpa5CV6xGAAbZq1OrI65uaaVRRJ
dyrI9FFaqhpWG2EYADrFu1LTwakycXbGtIABP/LMIMM4Q7zpe89jdUmbh2H1djqYkab8S7CmG+VY
NbezGd0QLRcLy6ZrIS0IJ935ojrEdUkcC4jEwtx6EYpdmKNfaXgo7G3RqFOzpP23hr2RjsUVKElL
zoIM0q+RpS9lKkrinPiNhe6U2PPBEza8BvIxr4bVGO8Wmf/rKAA06FZLtjZrXnZypvDZxJm9snpX
fo0aJ2U5KcI10etnFsY4pCMPaGnePnj2S0xYF3YAt9eoiLioyhfhVhDHcPD5w0SEwq8W+B3Bjtkc
ND0VJEg48rQrWZzQhqKLbFYSxDl7bAjWGuQxpW95YSUVQA263H2iah6VWvVlWLveG3+oxQ737OWd
dUtabJdjBVnnpQfjocT0mw7mCmzMLojxexIUMpDHczmLbKLt6paYmUwEErxwUvfB3prbfFWWc7GH
oTs9th56SasP4nNWDe9GQ76sXTDFesNgnVIKu9uOatYpZVAXuAflAWsakCk0kmZIosRbruDJs8fn
qcNC6AQR1YE8nAKyGRW6AjVl17k57XNUeiubBdeaTbXH/NZ0OxKCWiXO5B1cJtnXohwCtiYNriNY
LhZLwbvJ7MRKFQA2AtX9UPRrto1RL3vTA89StuFXORvlTs6Nx/AstYOFxBt02vveNl5Tz9nVUTKz
TglvgKDifG+/jOVy2+fRCZL4cyOjM7dcCkbwz688ubyDanoxw/CB9s6+YTW9rjI8viJlfAxqBWQt
JMuu6NaL1ONdhuk+g+iTW1Fbb1NosrAyYm7yiXUsPKk2TG/vMogtE+FPgGjet3IIm5VVUtVeuQY7
gnjs+0+LvXybcER5gEAI/RbpuJ7DOf4kmM4ixCSD/MTgBpSieUZqkNp7c9kObfp5Iv1zIHUGwOlZ
BEPPREgLl6BLH+GjJMSownxNRqb/bFgy2E5IsA4De5jrvocKQpxc/8xncaJh5H/2OqciSdh6CDiT
UR7T1qM8OmZ6O4G/fNrXo8kSmnC6A0XeW67V4Bpyl5TTAwDC8Dsyitk4GU1BQWeVh6Dq9tZgjfYV
sWeEvauWpPldYdFvxvDR5tkrzhQPiA5RI3WM6aSG5K5zcr9UNR30cCLDCggPCnpWznro4Nu9b9yo
XgGm6Iw6gxfCzD4zACNbThTVa9kTjQjiPGII2OMHyFFpMQA3YiNiBWyk6O3WbItiLvt+U3N7oc6k
expz3UdfMNQb28ho2WPUlgu6dZluWp5xL0EbzWcDDeoa9DMd/Ln1xE1muOmwVeHMtqP3uS2NXWav
MTmzO8EpPfzIFmu8zbzZvBZmvuzMWOanJB+jL3FpUOSOHd98MDtXbYFwsRMheiveELZ67lklg97y
hqqe14nbdJ9aZM0bokae2DemLY+s7XlppIwG1GE26ORyma0CEcD+CgT4V6+AspJKln8rJ2nuXAkK
HOHHsWrIuS488o9W3vEg7ezoBCmBogBjoWfMnNQIdKfmcryhcYztzMjAMfJsejaoUvfCd8rPl/8E
vy/MWo9tf+1n4Z7o4XKgI9+8dqViDzZJiypBYI+348Kyx2CzSa9nqbzHMOdkMinqQmZU7e5SKEYg
TRtlqoNNn1M3Lsq0QU2VEs0wQt5imYz5CTpXtfdKYm51qvgAacYrch9ZGMeCE+emhfm57AXfepUL
3vM4yaN0K6J9E+vdBV3cYcn75Tw186zwOfO5nJJaeOOy7WuHpKnX7py1e5Zq7O37vvDlZsijMUec
SFWE4iU3A02MjARDwLUzuO0xj0RZcv2LxbgO67h5pfiX7kWeUVEMlqtQyg4lSxEqSjIMHSerKl7q
ncrH0QFSRKQCNKJ7VWcLHbLFpXgVLfnpct0ZabXshoxvwF5gAoN9Xe7pDOPlGMit8P4StEQGqWGK
Imyz7oten5Oip8tm8q98V9NN7Q+cNoqUa/h4y9mqzGoPOlZtoWYuZ38mwoPTJtiQz1l2nsMVoBwN
EwsH/YJF5j3GAPGId0JpYIaVer7fBJsJntXnUvBXiJ7Lo1/pP60VZ8sk4Qnr2Pbn88ALbZnsCV1k
lIb4nGAYRpimcJ+DlTEfEoPltYkPlF+k3vCb2I/eFygOV0PG1URolA4j8aRXSomVDeDYGp6VxQBu
aI7RaYDJ+Rol5BxBevLTMRJ+wsBX6E2OKjpFjVm/5n7HNBBQOxvU/lAIUphFZD6wOeATVswGai1i
nLMCJrS+D6vUumbfIj+pUJ/eEvXiqa85TUNXWw9jroCl6x+s1eXJd4gIzWsbpBwa5MZwQswYHRUl
13LVB0b3usxAZQQVOdXy90KJJpOb71vvdsM6MZH5Nqr5VokgxH5EEqcbZHQSim9HqYgf+8QvMOrn
kIpFFe6VHNQ2rj3IU5TAz005RF/kyBDjevEW86qILfO2sr3o5BY271yx83E3FbfDvbBdih+0RYON
q6+CsaE05zYuJQXG9Ml0BUx1rcaw5yrxF/EWi6x5pRVp1AwHNPyma+lGm5rdKaNf3B9DhzMFgNl4
WtgQvPtRwwcOlb4GpcCx6rtNdEpji8huAPT4YPh9sEHDx7aPCMbwI/DYJ2MCNafPHT7Or9MQ0IXq
WJBLSqlNvE1YVvBkbDK46t1QgZ9U/VMqxuB7MzjRO9QSxkZdkEkkJHkyOenY7mbXx8gJc14eh7CN
vmSe61arTqINAl9FgXsDsrGe/yo//y8K4p9QECEoxJ+q578FHc4wfH78MrX819/4O+TgAXKwPQyR
tkV/gOuP/sHfIQff/B+GcmnHuKbps26l4v8fEIQPwDig0O+HgkeGJYha/J1xcIg/uBosQRs5pCFA
/OFfjC1/bCrQTWDDzOvQi2Js2fvQD5pD0DY40UkQRFsIne58RjDz09n4554+vTxCHq4bsHzkLZOk
+LXlRAtJLw7D5TBE9ipfAh1sWwUep/T/Dov/fxxFf9CfWusYs6bJTTiKX33tjK/19EO5/xAZ+P1c
/fpBPvSW/bR22LpziH6598X9nG7a5e3Pn0K/xM/9DpwvoYAKTYglNAPrY/vaY64Q1WYgD6MToFY1
2NSkTX1flu3eTaiJ/vlov32gy9FCxhkCBiu8j71df3InxeSZPMx1zNqE9sAqLQFsFnFTbP79oUhZ
4A5wLeaOPzZyBGiziYcZHywJ4qcpc9pVTND4LBQY/z8f6mNnVZ9Dk2owyxNAa3744WtCKSxmbKcQ
LmXVX+eF0mribF5H0zKt2ngq9/id5n97bXBQcqUElwPI45hwfr38XNB0loEG4wCK1l0h2oVNLyle
RAb/+PPn+9i91p/PwrIDPoOUjON96InlttEsAEOJ0M4JJvciQkhrtEF2zC1mtcHlt3fNTHA2L5bk
3BfoAf98fP17/XiNMnCju8iBvjV9+D3PsdMkIo+7Q1Aa09ar+IBeOz7/+SD6Q3w8CNAo6DlsfOhE
Wr+eT5jaalahJQ9KtebeHxPEybFvRzeFJRZgY1jzhh5Oeg0KbvfnQ/+368eGGU/CjHvWb4wmgLuT
GVu2PDBhOVN6ccEvZsaM4tMQ8BrZYrqrOSHr+ufDmgApfvvQzDE7fFiLh4JpfsybdYWByUfD1Fyj
kt9qkh/jlrWAtWVLuzAVg8oIIgwLp6Jndd6Jfjd1Nl8BxY79PA3jPm2kfLESIrcIortsI5V/b7nl
4G7Yho7XofRSCgNSbGw1DTtziKLHVFhsvPyyz55mXUX3Mz+76ryBzlpNnTBokMAEHRIjczj0mVwz
jp4INqFMRuaGn5yLhjRy3hJk91JZU0vo2QmIwr8SECZoDfsVhQ53Ts7MGHks3Qqm5wU9kcRwcYbE
Zc+FOqliA+agv+7DcnlOFf+aNAlWb7/95lmlT8ygRCNuQCnt/AXui9VdO7mlnqdqdu5HCER7g3L1
trZlxg4H017Rm86uy7mH+lNjngOKe9vMdqYVN6HhwfYVL8Ja8NpfiNYz+WDNtDo68xzhrzrU1AXX
MVn3+ygbxm+hwtAyLDakOS+auAwGaBDkmn+MlRd9ThpCXJuSPuEzuQTXRphi/pASRvqaDrp6N1oH
ouqUFeoltNIgIYGlnPthELyQPsEEuM41FTqYsEo7m2bXYxQ8UowMUeJk/hubVcT8BkJSbOlUa5XP
1Glm3GSx80N1TKKOs+q/Z8v07CzWjxDJ65fJwkzo9Eb6WeXIOsVMz2clE35I1ej80JvhcJWM7XLI
Wu4YGX39iYrBol56wetBkm/WTD/lpzJ0u5dUX/qw2f2rMugTFuNjxDSABIjBFCo2Qys7xpU9bELZ
yB2T9GIPwgCsKg+ceB0yHLENmNBhD14E8cmlX3egjsIBrMVbt22m9mMZ5IfMzYbHvF76R1Bw/Mcy
7LgwUKrcFzEzvYjO8xOJFmwmRt3Dagud2yDkdK5a24w2JW2cDZNj/o0awyw7ZnRod8BV0ShOqGCi
dS/ZCIFAiOnLp+Ixq/p8WulA861VML6SxLHYm46M3hgFgX4yWUZ0Y40h7SXEDH6v59v7FUIz53ZO
pLWZY4iZiHqd09zI9rplJu2BCPxw9MLGu4tAFO4Zx7bvfLOMr0fHRf/esjViXp6hY3cQNF6pPR5b
CZW37yfUinmaRG+K8AHsjpG0uM1swr6mE/wOizd4p7Kt1h3SmCvJkNRbwnzgNu5bB1EVynRsMiqk
FRTq8xGhstzA4vwOEpgz2Q1TsU1iYgpmZ84HBiis6yKOnSfKBowhzQHDerbhmvvAr+TeBQbxObCi
AfyCm9yLshWHAceixzzZxI7eTwd6NDQ4vpk5HtkWLO1Nb0/jq7Tt6lz1cXgLoMF+Yv9POxmIhbGd
WkYZLwB6m8mSHaCC4C5LZfU6J+54L2csDlOWqJupa71rc2InjdnVvcobCjBm6w5rvGTeYwM6YKPI
hWGDoki/BvDHAVpT37wKK1L3cmHUCrpxlPuryvPcDdGfGs7LKN6d1FPlKinq5LEF/8X4ktcdzIGb
UG6U3Z5Lg9wCartdMzfdXtUj5quuSbsNC0oG4IXTXhWjB6cgqdvkaWGzF6/igel2fjSJt8lC6GWk
CZYT7zZ+sqAenuZ8bq9oGxJYdyMmFTIPzjZz3Vl4DNgs7JgT9wgDxOHR7ULKI5QRto3QvJkkT3HT
emDH1zQIqHCFQm3FLOXxr4JSwlDTjrFrY+tHPTh3SxTheogU52GqWeBYFEjuKhYBb2OrFLexIb8v
aodeVybmteIu8DVNw2VbD75/wJUz/AB3tuwsAmdXl3LJWKfMOAXkq167vDbfwJKQNSjYtr93IeGY
ucNoRF6QWpeurliV5yJVpixCYKykDu36ugBGmLkLaGkNQc5OlGv44pcLNg6jjTRl9SFp+1NUpQA7
rJkSZNtuF7qmnqvukz+pbsO2l//UkbaxTeGHnC+VPKbZrAcaQux6naR+GdKy3Kuwr/YU46JtupiC
Z7WWs7Z0MMSk9/l1/woFSh0D3wty0BeZuwmiXOjHe87NUw43If0mClUJclVphimgXrgVpqHicEWj
fDqAh4S6EFCHPEo0UugsgqE8ZZ1JGcCvPdXr9thyUMBHKeRO3nIIU6qEJoyWz5eQRuroouwlye02
QcV6RkPyl6bnsJg4o9O0MJpqSmpZTLwbT03qkeY0Jr76wAZ+V/tUQPvCTr5fikG5LlSV0nOvIvTK
1Cc6EsxtDMShZb25ZyMqjzYDrS9jyIByVbWUIFvP2LpY02h/UlSML6Vj/bDrQpqfULinu9Gj0Gub
VE3qkE5sQjn5zpaz82qWbbGtGi5wKAr5aeGKXpPfxGrriOpHxjP8SOSje+pyRj+4kOI7JhPjW5X1
4WOV0cH1HHLjqWyqfSBt77NiL6pWjFRH18VYsRS/FH2YD53ulMqX+8UQw4+hiozn0m8iircqMzcw
uP/+nnI1Re+z4M1Ojs1AloO1g1Ko8RQjPr2D/kFTsbCgzLlT+qXqO0ay62HaGSCVPtn97HwapOF8
ytxmvuFJ5e2SNjE2c5oaG8qKtA+iqD4vsSEfakh4W0ZGyi3Sx+nmctaB5icEqYLg1tJ+s6qqefB1
2RW2GpMBSah4VQ+fpeZC3E1It6582qfbSg+6lrOytw0GPirFwuFHzKT0qaeEdhsFZnwk7UPH9XIt
w7Im4Gc4AeuKwLlaME7d+F0VbelgxmvTAeayouST34o2K48eTaXPYQSTR0WkavGQ8TAE/cDXvzCr
gBSEYmNL7TseQ7uEIUg5z11MXZEk7ZTP0w03hfloNVF168tl2aS1i92KsMv8Ioj1uSv0utl2wVdL
vR2acRHOGVJGP7u18wSwhU3d2+lL2gcj1GPTH2kpyGa6bf2OR7efgD/zmcwkz7+Ufr6xTBnhlTET
mKtQMo6MCAKaiJyO3rcqKnNd+VX91BNC3fXccFgD0Qu+Mh1L3bZ0DOh4eAMDEdRumXJvTi3xsR1J
f2PGWVkZT50QFNeAzrBidmwGvgcaACLu+Gni4MiYLdKx7GBoafahS9pThCxeBF2WbdlQlLbD1Hy7
5KCckmyLM47iDX8ctVMwsfbKcHRckMDINiUYToObqJ/Mff/kjc68DdQssfdZVEnteSAjV4YeAAw1
EOJbMQq/3AuPTiiIEvQY64h/eXKMNlarkKLuda8MdNn8p3eZDbQEqWUbHTp8ivtU2MsR+gimCaQj
+hPd+kxp/R/2zmw5Uizbtr9yf4A0YMMGXr3FXa6+C+kFUygU9H3P199B1M1jES6/cot6Pg9ZZplW
EqLbrL3WnGMu6XsGV1jksSRCmb/Xh7haI1vJ1lMRKDg786ZaCHPUX8dstIHwZ+W96AQ62ThULhiW
37QA3RaEoAUATpQPuwRrqRnZN9EyBU+i0TtwGvEqUXNWTtOvq41tV/06pwO79QgjornvNRfo/iqU
oaVqrakQA2bUJtlxUA502pDYw2X6bmXKO+3+a8yTYqMPfTrXbeUOOIy+sKbwoc+DaVkBS3ZZrbZc
iG6JFj1b+Uh4GIHb35QMwwtQTMj9IQa9lU3OBtAdZo2q3SCvMbG+JVbB+QIiMqiq4P+yYqMOKLzL
Igv8ZUz64lqGCaLuHN8pWMwoePXbznRjCKLTguSdbj3YU35fYIkhScZXS3R0enARRLK4ybK4+AbM
OVvwVU9BwxTM4TsLcaiGQm6V2EW8a7tx2uuhE29Jf2xdJYA1tyKdy7gx7Gq6iXxZ3Rckhq8R/1iM
/ofZLDpJuR6sysPXF2DaI6N005Ux3Tg1CfeA50Zma0353amm9EJzFMFIJzGdatUDuO+ZDrdkwlzU
2XfKe+1lYDt+qTltoy4r3cxvuzICi6rnbX/jTWO+a0YGTJGCgbGxUUPpaaoij4O6BKSm4i6ugO98
NwKj7JddMI3XhtZEt5nZ5JsWN9SLrKivFrhf9avRdpoXeHXWPgZR9eyNRH4syqwVT+r8hZRaWjDt
sgN3yLL2IghtPPxpTWhHI0xSz8p+n5h+d9ErY/zeGLONL9C4udBEvJvOKtIfaW2py05q5NbUUQ5X
CSzeXgPqeQBYQHcFqxBzji4z2OvWkEVHpTEeRQZeAGmPxggLqNFVrowfcWfZ3/TcytDzTPbS95Np
g04zWkYdlmFqvIkpapAi1mgJa1zJsWIli5LIjYqOWDBpqdxevrb7kV0FCnIxwVq1V35dTCs4Qg+Q
GYg9bWhoscov6NkC+HYYWcda8VyJSKxiyUgHwYhVwjOjMt7mjkwfCGrID82U6LuqQrxBPZ8ijQLP
FBd2q7ii7pXUZbsklY+xSRCL9ZW501ppPzUKWbXsO+0tu5h+oSuh98ggpDnwUUxuKBWjt0ET+WNU
xuW3oiVUbVsoYIwWoVeG8ZbgGJITSTslTklpslty7/ps+Ws8EVcSFlJb9dG+09sPv7cZ39PZPUDw
zi4Ele17VpCQOHoWtholvpryDjhdLZRk26A2XDIQzg9xV/QEJZRFc0Uj0L+KKIYWkZFE9dq2zRKt
n0SaSu7bHe//jyaDzdHyTXOwyOsxQolm2hPd0d7E+KhWBr6ip6GqBR8uuLhalnq3dSHy77TBXo2o
7l8RRN5PLVLOjcXIZaUwbdlG5cTKXihiyauW3IMXgVWJNLS6M9WkTpeeRMEXtOpm6rqW0RB2bsXO
jW0Af/igx4TfLuKqBTsLJN0lN9X/zvSpRi5BKJ8pFFiL/mA9sNXhe4I4+dVLSRQtfOfZINbrQi00
fctv0fHLlM29ERo/rMSurjuaWhjavG7TxejeuG5jdOk4U7/tKosrltv2Ftbk7Fl3uCjCs56tLjAe
wi4HQtCGvLCVA6kro6YaA+lsTMXcNqBabtiDPLEgx9dDMcl9ibp00fSNXBdJ5r0RGDcRw9XbtAlF
dEVeHBoeU2EXo1dUt+BBy6Xf9dkdMQU+Fa5Cvzltdo09prdeqMgbq1R9gJcScHvQiZ+an2Hnj/B9
V23o770saK8zcwgOCSiPe6NA1YiIefKU9iXKoCMGcb1NWW7XXSEg0DWDeut5rXSTHkNB3sQ5kWYi
uW9YcRftABPNcTp1WyXtg9+CiBgsVe6Fn4/bpq9eAyez3MgP+GJRCO5ZSBVYAk53oJSz9r2BXosY
xZj6N89+tk3UhaukKb4LdP8vtd20CIB8RObfczWK1AutaL0Lu/eiFd2Snoet1h9aXRnGJRlbpnMV
JpWvk3JYlsNCVHlhbsqMNvLSDiqUNWOVPGQpfuXUHAEBhbORhxbWAwroj2FAX6yCJkaKIqq9OvXv
lsmuwUz0dElRxSapREw0aUzOyQzR4DJqroImbc/7b36zUvmUIqZbEoXnu1SFyYp2x3uth4g41BGC
TcT3dex7tx3km8UWZIimg1mpt9RQks4ZbSKltbV3A07NhUFW1FqWgkYKGKNr39PczlG8n4EU5g2I
b/22Hpyf5WAoTz6v3qOuW1WwMuu8ZDReDd6qtrU5oNzMt6oztNA2y2wFyZvQW/wIZzxKn7ugOlMn
lQ80LW7YZ4y+fp/kiNqROTEelWuVUbLX0u6RNK/J9SW7W8eikf913/XUEASjMN4a0kBtvMZ/Hs6v
SlVDD8Th6sZ8KPWSMCMPyqBnqWfGLZ9MNXPnHtywblCGM3E5hkg5pMj8p6ktp7Z/r3816Uev/TFA
Y4GEkmj4JdC7SHtS38iwYUcJbuW/6N4Lx5aWNAQe1E/TA0s0E16ACl2+b9yaLSaNwqdP+vcXlVs4
97BVBp/H7loDT0prpMxgfo1DOkKYURePw0IzouLM/Ts1jjAQDtiGoDWHSfHP+xcPBCqM0EvdHjTM
Cu3cq7Tz169P59wxjqY7oQlZnLe1chFRX06y2hp2es7xdmSgNeaHg+cP8i2Poml9ejicyO4rvSHS
gQ/Ypd+q+l4Hwr+ciI/7FiiMWpAoqQSx02sF3qfuMPCdG+18fvUgm2G5QrOoOuxfjkY7BhmFQsmd
0vU1QpcbkLrLXovLQ6JEKH8KJ1v97XXleJbtOCymeLGP372S2soeMf24aTawSsnx1go068x68vkF
F8zQwcTR39ERyh694I6vNeRxJ0SvNSRn1wUoCTwFByuiofn16Zw4Eidhm3MaD74m6+gxceoQwNNo
5y5LG6olpb4Qo/VQVNHT18c5cZs0y9BVDHPzmNiYJ1i/zbplkcbCqazcnQhiq5I3AnGWgGpmwdX+
6yN9RofbcMp/O9TRsJGNqpydG1iFOofuXWYQRdZbDfZYp8OS1WXT4whAaAuz3atWpUECo0rowgsE
G1SDk96syeSjS1izl04rQRcsJWNpb9pRAX57QGjeB9Oll1AMGmUmEIvSMqa4ataJ3kTN3uqS4arP
W9pYI77dJXttSL0Af86cqEG6x9HAkVEmzX2VF0DDu3LkxyXkVhFO1nJN66B5dtJMvdI6+26UMnxL
p9bat4RCzoKqlwqv+8aKRzZOg9xJfEEh8JSlVhYAetrH1KM6amSAzD+9K3r7cvLYXaZ5DNELkfii
DIWFvSyCgOX3AMqqTrf2SqS0y8HIDZcBV79qGjx6HCdasY+3DrGBliGKoW/CjwlWjt8vJ8sfVgZn
6HC1dNinxBSr34nhy858tE48a6xLGgoOvll894+eNS/tSsawI9clUupDpzlix10fXD+qEMkPnujd
rx+5z5Nf4F8WsSg4eCB4HE9+8SR0XV+kuevM3CWaLum6hAp6kKJotp7tNwdoXuoD2G7/PyiX/68t
/MTry1hbnWMC0Kx8El9U/tgpQSsz3IPj+K2ThMaXNH0fMKpHH399kkx5WY3Y8PDP8Qyd4QhF59hm
btpVtEYxdFT0bFpUo1FW7WQdh/ayZspGrIdO5+7rg584T+oqQQLRr2iaY+u5FfuwEfIsc2sPOljZ
Zw/+7PW2o7H66zLAmBcpwltRtTigOP9cqNgI1j7G0cTFcvQ8jhnp5jYIuioR4q8fU8oNBFMIo5Bh
fPKLF+DzW79rE4aLbb+aJN0XEV33vSk37D5//O0FNFTBienATxklHX+2fIB8pDKVnJaZChc7b5Yz
SKCxWyciPke0+PwCcjBKG0oDk6nW8eerZEAcyDblzBTjIRDKM/a0H9EgHhAEnqlB5nf5T9EFh0Kf
Izk11vxfbuzfviupCMIxU5jGYktcCxomDqnxCyvpJpDpuHkS/Vw1evqI8H+Qsc0v3fHnxSgsG0Ny
7JZat4+d4i0ftQdRxSVqXwklqtXPxKJ9fvYNlcJ7jkICasHI588n0oS2gvvWil2lbfdj0rmGEV+H
Uj1zmM8F43wYNDJiBkzox8qqzlaHMORXu52iz4ZwiNXFwBfx6+fw81LJUTSVYgOUg/xk0schM2RR
pMVuJdjWst1DU9r+tDJ5G5UNUzV7WooxP7NKzjlYn56SeeFA325CZjhGM3jphAMgQFXlmPjYeyJL
+dYRbHg5OIzqpoxJVj0SxLHAMEe8KJkQBb1v1do2Q+nvEoZJm56yiKTX8g4hLnSBoqA4mMuCcjYh
oI2Rj44O5AFHoHnmrz95YwB/8MRpeIaObwxzySChvZm4tKiydTQ60V4ZaHZ8fWNOPmXoKi0HTBby
x6OSMzVKPiN+TkxhY4HGzjtXjQm1s5pzVcupW+FIalvWIRIgj4oW00pEVpQZC9FQCKbZXrAbpDps
vj6bUyuQpAQAv8CmnGv35zszgS0a/FaJURDgaOksPlMYANHU18l39Pp/X0WzZ0QmyidjZiQd71Dx
vktw/ryiY+z9mK8d6a23aeU9f31Wp16eORHHQpLLxuD4MR7qONOmnJcnCU37Jh41+uye+YOOa76p
fNN+7xMIO6hY6jOfqlNrHkJSg7oayeCnTQ/9EzUQRhe7PqkUTabgoPA3RfRURNM9L+KZo5164Nn2
6Dzs7Cw/qQWBIaAjw7rsFn4Rb1NpWre9jivz64v5idcC/0jlIlo6nyOBzPloXXVafWhN+m6u3fbq
E1TBfKOgOF54EehHGvRW/whcMF+2edNdl2MWX5mJJbaBjbBrwsTGdCkqVlqJxxx/BkPZto3O7W61
k1feYofNmwnL7LjwqbxaNfs05WszGPQKm/JNaxySx4Rd70LLfm4HuhOkMdPJzET4FPddvfOc/DVg
rDvJ2X3Zp8aOLpKzkKNCSnvAeXx9IU+8awy2KEGtOeOU+vDPdy2x+BvCgXIbWuqPYtJgwRYoqryE
Ifb49vWxTlwOgOu82OasWKXq/vNYOvQJlQw3SntP+6HScFilpvpWj0nmWk4WYdKSzZkK48RLp2m0
7alo+GJ9KrG7KhmHys85vcj8FoQ+NA5G9zQzq2khcGc+llVP/DPeYffvzxX8mjN3pCgQj1dKg+i7
sLLr3GWvdoXHr0Kem9wiS/ZxtvpPULf9M7XvqTvJpaUNoGvsfo+BaLwrmECNMncV1S+XMNEZTWai
ue2BHripZCP99Rme+OZwgtRQgg8bxeLRGwgu3AjCnEs7dD4SbqPqV2qZlyuBLO6/OZSD+92WFIzg
uv58cArLCJs0Y4umOXl2Q9oObk2rkRdhq2lnlq9Tz6jghZp9CLPk+egZ7dDFZBOdAReE/QNUjw/T
LB+SmvsX+uWtjan9rzdHLGCYLnRAZOjIj19AbaDhrtdT5k76hNDH6u+qtloV9AHOHOjEwoy2GA6Z
oPOMjWO+n78V28WEW08FkO8mvvnsD8PWnsqHM4+E4HccFfR/HOPomXCUKI4Mg2Og6tUWRHcUexA1
5p3eSiAySV9zFVWsUX1VQBuL/MecEG0UAwxsWrI7aP61SKKykHGPMSCDEZoGsAE3dCiaaj8ZRnCr
Oz6BHiMOLa9Qs21ao9Bgd0u6e+d7wN1t1NrqgFlRm2lGwLy1u8lJUVxkGjyNPK2rrdqR0vkLOHZN
YgfVYT6bwwmEug4GK9iC4R13CYbRq04E6WWnVB1h7g6JznG95ArHm5ReUbUIUAu5KJRIxeynYu21
gYliMO4PuSFCKEdRu/n68p56NvmKWxrPiZgppX/eQdAnZTNKnk20gm/l0LzZQXFtCGUD/B1TLXkB
Xx/v1BtOzU2xR/seZfzR8cxgzErhj5lLZtPcc7rq9XjXN9mZ4vWzv2AmnqLwpzahTeccHQbgSCCq
wclclKS3RRFWCIfs9zJ+ZBJ1yVR62Zr6q19lZ7ZM4vRx6dJyRdlcHxdkTgEGq+hNeiL5OH0LBlJY
7cpQblG7q8mawTl7nHLGkDdxV64SUgmZcGUs5KXe7UykvmbUKzuhtspGa4xs6aEO44Erthg/GGM5
0XdTI4mqH9ADgaTxV06jSXov1gSS3bvXY3z89mQSNNFERoyrEHtexN8D+qH4QPit3US/UowGLHg4
uvjv6WQug7qJ1hbsgqdSmOduxak7LgHQQrmlzSDmEOHf14hQrc00i7vMBSA2MkBYjL26jbXmXCr2
qbXot+McF0Zd0aVJDvbKtc05Mod+w5JMx/XXj++pD6KE1sdcgXkbVNI/T0YtAUCXYJtchk72cpwt
iyoBYzG86qAez5jOTh6MfiV7FmKUP5W9smIxyoBvI8KRpEgCToD2s0EGhqCyCc+8mKcWAknbn68F
lr1PxW8yjkJGSCnIgK9uAaLJJaSUZ/DaH02IeSuQZ66kduq5sNglsYHFS2Udz2mmuki4vtRp0ZBA
E5l0bW9PVb/T6cWvcqEErlGUOL4LR9yFqhe4o4+y2c/D7NL27Xjj5Mb4aOELQKPt+SCrvr7TJ/88
FkTaSPRvneOFsR+8WokDypy+LD6E4z8FenefCIbJ/8VxLJudItvf2Tfz5xNVd8oYFIhyXHaiBd2c
5i0blX6Vt9WZD+mpsnVG29Jimf/HOnoPRe8g40aA5TYIx4ManVuf3Va5SSKYdk0s9kOaOGcaFace
4N8OeVywRpORINRRU5fA2C15fR+OkaBwlfsq787sOcSp53cGcdOLBrdNL+nP69jMqXbTYKUsM/r4
2gTFT5iAcgkKxybPAqDizAcgDZa0n7CcBceKNsuzKpQ/oI2eicoJnr0SqlWrI1vG2oLZIGiqe39y
wP9mCWx7r7Y3g9XbT7bJqgnQqkY1odTkE8VzazPXf6q9jqYdHsJQqK9R3l7hSSzWxLx9hHbXL9JR
hOs2HfX7AuUlH3vdPPM0nboKzuzUpcXBc3s8gE2Soq4zRMruVEw7Mlq0RaMaz5jHL+iZPjfh2J85
4KlbPNszcAxaNFuPL3sRaf5YUgy5YQlzoCvairCCmU4gfOA6i3oWpn79wpw4Rb7rs9sYDjuV+9Hu
0pGjDXJEJC6URmMdVCQ7ZQEV2hjl9XMEp5ko4uD718f8pdc4KkLR3uhcVF5RtrZHT5evEK0i7SR1
ZTo5y6Bv5b0RaN0yE6N5EeRJ8gSDDfaBgWTrl07ZDsA/pO0EEAst0VbpwfmdufTaiSYmqgS6PvOq
bX3a+/qDORVexxtdTx56NuEbG1RpYlN7Vb2FuSwWPCnIp0wwiH4VLEdmMsivjXMoYnFirZx94cgx
YGYzaNP/fPdUpBEybcIU33IERuWXuDkUoC8QWGbmBbfL2jURkkR8FlDKEprIpDYxR4Un0t30olc3
4+iBm/jFl28m9RtlcbYNeh4pbBPxBmWPuUWX+zGiyGTJ7taGjII1gkFjVSlZ4waytNYEPFjEYlzo
eSzuY5EN17y2OFFGXoTnwG6dfaJaLypQsDMb81PnzwQMD7o1T+iPG0e026KkbgTnn8TDPZhSBGly
CJ9DTQk2Xz+Jpw6F+hKtAW50PhtHBQhDJ3jk82cJCGmwKkp7tvQMRbx3gsR//vpYv+7b8VM/d38F
u1c+g8fb/0yRSdunIZuDDhjPgvzhEcfHZGhbr8g7GKuJdqHlqnfTDHp/peuKf6s3CtwSkRTbIgPn
8usP+l98wxl8Ax7iOSDif1ACn/ANVx/9/3Hf0oJYturjd4zD//vJf/MJ1X8grs99W/pWPFn/Ihz0
f0w2S6ymPMPMlFQW+X8ZDuY/DCLp/TgWUYdAYlmD/mU46P/gJ+P/zrz51/BG/A3D4VP1PjMc6I7M
3XI+J8cNc0ORg1/a1uTGmUkuKNk9C136Zz4dn16e+SDoxpjicp6fdoUNMZqF4/CtaGMCfAarnlaB
hUsYD9c50PWnjSCHYgsKDwOKPw2SoyUxT72hBLc70ckCHBMmM0tGx+mu5UWKLD9sXJRlynaYTAP7
45ivf7v9N/95R3+nw3+6nMxrTNZii3YaN+14aK0n4AJ7SYpXlPUPuI+fgQivvj4ED8VRX4ZDEDKJ
eY/79mn2UFXK2KqeVrqm1j8MpnjChUVvnGkBktGSp/R/HucT58PI8fPhGOfapkGR/Kta/vMbI3Ag
yMGpa9foiYb241Qr8HiBb49N8O1JZzwaXl+S4uyXjYq+OY/wZ+BEqBZpjL9+VecYdizdh3YXRDY+
h95y0iXBIE65HJKE+J+6diLotqVWUKkFzqKKHH2nR6n4rkf91u/q5mdm2HjeqkbVsRA6sElHh9Tr
GGPHVVC2zkoQqblq1XF4ItSnOoTS7316wrMQ1aBl+iBNFulwtEi3RUh06/m5eW02WXwnidxbdEYF
ichv/Ku2w3Hupw4YH7ulKaACw+zaadrFcP7aSOloz6Q/DSu5y0PjXU72bVPBE+6R9O0LdXj1OwPs
dxpJDGT8zhQT5ioupnIbl9DQKqLKzTrqP6rAKXdWFFzTGlRWoZNXa0OHUt2DM7saBoFVW4FQpPvi
yVI0bx8FpGWVkH9mY8KHkIrzMGQQTkctishUK/2HBh4VM9t4qTod8Xm5j/S598jKCBNvHalDcJnV
c96Ut1BBOPYXpg+LbN2TXDjSoRnxkjZ21A6bEHDdQ2mBkwpQxS2JbrdIxJrVzlmhedomG6pKPhqZ
pTwHcVddZ7nG7yGlXn9gHNZdJFXYuugEaA5WFSZXgsWCCwzM1WWeqCag7pKOW+/wiKRldFPmOJmi
Hv9CN4Lx68JEfTLy2AawXA5LJQj19qUN1VLzEfBrB3KI/YeQDJ11Fs7AYZkaK7zQNU7MUHN2Ezmj
B6LbqttiyqqbtKoPnjOKFzQPzYPRCkY3kK8utUFINIM8C+UE0qBtsmGbpeIliCsT40XY+jDUBXzO
OnSwXPnRVhFk++Hqy2/aZFzpdQvnesgLMsSKRN1geCAsTJp4ikJZ+AttMMNt5RjtBVzfeOFNgbwJ
rXoDHoD8Lq+hmepo/mvUEvPBjz3Tct9DVivZu/S3kMeZddX+QukiZWukGZyDWmJICbp6QWhVf6t4
WBR0EbJNUgtyGVOETmZRlxcjBUEChdvMr1Pg5cR9+4BAFkj11VvhleMbCEAI57w0BzxgCvwEqW/F
QISiJJQTnjndok3sldaqVEuOBuwLTw14LwF9cPA2XhGM+0GxIQbGDR0yqJlbwlH6iyGKIngEbb+U
mIHAc2HmSeMU65Ch+gvDa4dlasYORXHS7yc9mB0hwt54kXSemDlEyzQOUYRbwRuo4GeHkOa13zTq
HaMs1dWJDsXgdECm6OPxV42FZnGlBSI+8vpa3Msxued4UVZej9usxBq4xG59qdRlgZLBA3NaTj9C
367tBeSRcWF7freDVd1SCqu3w9humgGVPBq6aAGafmZW8mvZLJePlaZYKctTr1DwVdiY9Fy8AUfD
XUcm6LoeNmXhiwfTLBxAhnEFMNDq6hvi5cUb67a9C9NebFUtIDyxC/R1ELTcIZP98pWXxI2OSaMY
H3PNJuY9N6edNjjQy3XzpcrpruuOrSx628uXSeHpq1oNDj7234APwCLt1K5Z+D7osCTVsitY7buk
0x+JrVEXJB9mS9+uAGDaCixvxVt5sWJfYnGlFQkgdirrNZR94w17evE9akV3XRh16ixMEOcrlgQJ
cT4aDjCfkp1MAakIG/8InfH+Wz4gQ6Qa4siqE4141CUvEPL+IfrpREryrOGefvCsybgVEz51kRDl
S3BVVC/QA4ktUEkIjvAZeU/k8AOwpHIdo0LgMsOOrqzoyQxo445OmCfLEh8HltXBWEaIWdaJXSZA
WS1ggAKWGTDViYAEOAEu6oYZCGG9M8DFEdk53PfSM6OdHdkWIx8YJ5kZputKN0YYHGPo0rHV15p0
AgR7eX6RM4F2zcY0r2XIWB8Lsv9qm+vUD0kBHQMufxcMjxor10oHh7XhIiUPwvY1YAIaCeZKE+v3
RinXkhnxMxI9A1ybDK5kJafnGiRfHof4uMiPqK5arWg2ccpIoRmtyDViaJvkkigrPp4/sxgEoldW
8YbkoXrH97HfdVg6sUQNDOMvGo02BlL1pG7/U1f8b5F/rshnTv1lkX/5BqP3LfvxR33/nx/6t743
58C5Wf2pMjNiAkjN9m+N7/xDixFzAfq7WcxDafxvFJ3zz1z722zc5/7875g2Yf1Dw5AZCooKw6KO
/asS/7hgJMxOztU9Okq08p9IXZkKeicNYuhmvmZOxBQZ2QHR5viYauRN+r55jnV2XARzQIs6n7YU
f/ln2Qhs96BRJjm6w0BPW1U6XPyyD7dfl6bHlT5Hoc6eSV0m/Y9PHbAGOV5HdTG4Y4OvudeH8jbO
K/LeLKNYq0qfLLSaObZRRspd3VvD49eHJ+jtqDKeO8fszvE72Lzzn5Og2hGk5Wg1bp7IZCDkIJg2
iRUAPUENfRj0oNoP+PHqLY5HogoKSPgzaT6kHVpTIt0D69f8BdmyUEvIEQFpq2E+tqc+3ozkROM+
z0eSvkWikAk/FGBAYIbUgCwx140/GR/Gd4KKmrAPdlaBAe3Es2QJVt8sv8ENGbdzxMsc46uNjDVL
GhgLVBWTq5aD9oDxpriqwJQ/ADWCnSCgQvWyLt7sNA2Jjs278WdQc0ZdlnRPSZuN2zoasoOnASfC
g29ryz7Xs0PgqWhcwrF4IVGQH+yH0DnUMDlZXKV353Qkj6y6ulDzHZcqS5c+wX2EsNNhEVtiYDlN
1aqhVGFEJ/h1hIA55MG1iQeT2auDkwS/OE5aK6xu86QTZD3PdsyosYBeS+T/kxgIDFfTfkX4XrWP
W728hanr7dHdD1tZ8gkjTJw/RzTdUwQs+6mMJnnP3dHXyN7JqdEJ5WjlUL6POXGBvkV7Meyz8RFM
V/7SqhN3pqSp4soZpGX1wEdFkzkHqSmhW5bB+LPHCf+oVvzIqFb1s8SKefAG39jhztceWoIEnqOm
zw5DnjuHNKWNunKi0ogWRopPdyHbSQW4lhCFW3jJss86fU3sQXxXSHZDLVE2AI/y6t3w+Fc/xgW0
9CEg+S4BAdhKjbZ8H2peZ5uP0laGbbLLbW7uaBX9amgjKM61AGe3Vgmg3hXgJxhPEvJhETCwZXcR
3/n4dAhUCMor9tQmuSV+9xGrI8lBIDUYkKsqi4aWv4ZD2T2haZounbLjV4lg3BYpDSpt4IydXimu
vHh+2ZXSvFZ8tcO3xblII3IWjUNAfYdxOF10QdZ9kGA2zsnfxrVvcCc8HCILIyvGVQriOwVC2nJd
YxDBVuKYS/YyEYEaA5hfTNSedydVr3xHYTpdZn0wPup0y7akX4AbqNhhkJfQ/FAjqT2EQE9XxGHC
k1a4trXPfYza+VLPj2iSwZ0eK85+wtHssyHgThgSt6ih8fxXaNBfEt/y9kkdv/RK3RL2VKXXvv0T
ODqI3FBJJVH0Xqrvgtp8BStUftOxpz75Os8m5uo43OrwD1aGkbwaBCaT72AV5KWZPJQD2Noh4EZJ
S2k2XmkU1wUhLtdO05vX7ehpD1lYFy8tAcCv2NN5Wi1AOJXu5a8Cz+hFBHnpfrDnkBYlgo1rZ33+
5tuwPpahGBW8l068+nVydsBLUOe1cjeMRdashjCaLpFi1M8Fs7a7MW8Ih0dxkZDLwW5zSKJ0KXs1
dJtctyCOeEO4hYdCgFtCVctTG7fWHDRUftNCkB6wgSwcoroorxoJwkV/RmGhxfKly7O+eQ+r1ngJ
8V7HvtuJKTPwUk1KtsZN07eX5Hl75r73RWvcQV+Bw2EM46MG/meZy5acZM0c8AaxVdvwHJpg7VHe
kBAzNCxNbXbV5o6+gAHg7A0lvmnUWrnN1eROMdsrIy3SDS5x83YCbL0wLfI5KtMn58O7AmpPNBCD
fNfXp2CX6vFjjTpx3c5BNa0xfg9t9uNG1/6IAz3dKZn/ToxcsAsmRF+Z1haHPO36dWJ2A/EXfvND
gyyx9sP6YmhKb4OlUIPLEzsrbawgoFmmj1LZD6+MiZAkci+6cUmC/V5G9l6JC+LDkzKbFoXjlTu6
MdR3CkUvzmlzkYYxwoM0SX76xUS+EEIB8lVq6ljHyO7GzArXeqo4FxGcLuLQox5vOi8scBftIhwx
o7aO7ROKyI3UtU7dqcSsuKnFxrtohL3Oe0VfEhHBa5nNMDMVN5KupOpFb4aO2/ravUg9Z0NzqD5o
mSOStc61f6+LvpdLk9kT9qSJe8h0oelcoB2k5Wk9oVq0YdqaNIVMV1uMWo6GFMJhJ2uys1qNXv0u
8r7d+qbPN48PuL2BGdEtAh33VpTJ8g4Npga8Iq43WDOCAaUdnRrHHijLO1xcIh4usmE2ESdx/IIf
ObeWcpDjlkAnsgCQrdorAuKQkHeGoEIUCL40IuaNlhblDjGBrq5GFhGwR3Gh12y7IPcYSV1ckH0F
4UpX6UENaMtFEPBW1Wvg1+UiY6q6IPHD3BeyGh6nXkTLaqYUoTRz+2QlOiUnrENOb3QGTEbq6fRQ
REUOeKd2XJqOzi5tvfEmjMW06ry23MdpYSylnuDrluSzJ70fr2tDGLdWjY4k92ZpsV/BPFELe1Mq
HUKqOVasN8kHJw03+mZJHyCOOvYbwxvhLzidsinhlbH9T28T9rjLOlT7XRiKQSywR618xXee4Olp
2yTkiZciD3Z2N3hrp/eMy5zxPgE3vXJHIJx9pZXTuJ+DfBOSzByIZqWs0g96fVd4jK2DM2BuJaC7
J5YjwRyCEj+IL4t60nYFkqpyGRKifZFMnnhpI2skWN3s8eDpfVJfBCPJS6SGR+pHATMgWRmYD4aV
GqndbipLZ1mkSrVttcR86ZM2JNQsDqOD0fj1O301SUxYbXTI7LRM880XXP8qfNi4BpaRZ0jNlYF2
hhWY3fc8oj/aJP1cFxTlLeb6ZIUjN8vXdpeGFwpdSNo0bMUsHr802GGSrQ5OWecGNjrUAYs+N0NQ
JLZXLyP4Rtej7oUuGe7Fd72AX04O1BjP9wY491wiRZHgOzQnyUVmnR0cncAzOyuaHzYNoYJ2G3Oy
jco+j4grVuGfDMtAwo+Kd1cgLeIdICLvYHlq4a18c0aCB2FKkE5hXk+Apv4ve2eyGzmSrelXafSe
Cc4DcPsuSB/kkmseQtKGkBQRnI1mxplP3x+jsm9VZgJVXUD3ooEGchMZEQp3DsfO+c8/PBitlHzd
wskPQ1UwsGegt0lDkwfY6c/yc5YDFLYcRjX2PpzOaB/V5d+aL1XY1hO2MN13iVVnuLO9nO9nNdvK
eF4WIIpC+o9zpWjLtoYRC6vRrXZlbtcn2DniXOPxdOGaHXmB7UQx1mVWxo20cdXJvY7DPWpa40Fk
0fBS2E52m4H87ITny5ts/fUpIvXqGJuBWarUVpQJn/vZ4xJK8FlAexIpZd1RBsV3R/qsugwyRzm1
yWH0MwpR3Gg+zuYudcwtY3jJC4znY0sZoUjMRi/HrPGXK3Ms+f7DOO2yzfmhpdl6Q0zWJN2ytb9Y
BLwF/VxjPMZXYHuLuqKZl5+oiQsWA2lLdGEREUox4V23eKlJoJl0aixyI/UvKM1sz/8yREDiDzdR
EQudjZn3R3jdGwAX6wUF+oy9RrIEhSz3qomWQ0u0204WyN6i3Al+klA6XmBLmB0My/5AAfsN9zMH
Jh/HlOFN2W5A9ng9AnC8jRLromJ1qivTbJx3GyHNjE5fgiXiEhQST2FVO9MlkaAg3OHYcAsvsgg7
S5AqbDnmhj6hbqIzBzfRHrOzXEEOnnZaIY5rtztru4PxMGbafzS8YCGIMjOxLRaua8ROx7ON7zD9
xtQSVT3w4JA+QK/EkEI/mFX8oZW8dBFrHP9wEdl6pFms6l4giuNeYmSyc3FAfI3Irohds2DjT07G
HghS3lTwl8/lQOTISDQlxiP5+JIRfIuE1bPrd+2Qq3nZ12swnlU6ZVykgtA0Y+76ee9lVW4mg3TS
GoccB9gLQ1rWpp0LpDMI+6VNscTslIMZU+CvdXaqOEp26br9j5RGKt2ZWFn4SVqgphkRHYT2FfSx
Dn8WZ5ZUQXopbealIM8r5xtnImr3Mw8/LpMzLVQwYzBoLDRXjDHmBVMPj3bodt9MzJ0SXHy8pPMI
RkyaSCKIwlYIqxAAugWo+KCLvjgOI6eaWU3rBYarNHK58IeXvqhBSOnbCX2Ub+EENrbTy5ZFt127
aDOLuVxXLj4vu/GAc45zsnhh7ytnLI4pYhmRhF5fn3qSyD5mkhk/3MXiTLZr247FzP10+lDfMQGE
50WZ2GNNDFt+LbpvguTIbzN+QSdz7tv3fuupRR7VSU4G3ZS4az2TwFNPw8Fas+aE1x3dogicmDMr
uG8cPbyYFnGf5FW0H16nyQJx6WylxdSy02Llzetbq/tmlwzyStXypg8KzG5Sd24/+lTAdgl7OtLU
dbEsAULlHemI/7KwmeI3e/ZhX62YuSrNCsJIVx57hbteQFJUl0oq0BAbtlLMfovSlTdYZnpLwODd
2OoVnVl4tibGW+xYo3NmSX3JCkmc/YwLB6FrOQrT9pI2FOMLmzPGqmkpjuE2eUMDkzdNxVweFIwn
ML7WnywGs3VfhKt8q/zmbpwD+Uk2D2OO6WW3lnAxDJty6H8uP1QYW8OyferZ3XIOQ0BKnbSQqs6L
M5HKvr2qbDpXDpJq2pHsJd89NWPqrNk+xSWEqP0wFkyk29BQzCaDUz676t4UmjvTlhwBv2qgFJkA
RM7s5aqCsk9Amp6Ypx2fS7UNg20dLFdrhoXmPIJq/HoM8WKngGcCf9d5MJZrN2PSdLpF3f+atIXD
44PQv058fPrY9DB9YM1XXNQuB1kNiew8pD7s120sMzKDy4DmLUgAerj0G4CyFviUVpJBfMrznzok
B3LldRPJvGyQ97QZJIcZqIEp5+pBSfjlBPewYoAxxZarxZBSDXj44R7ILc4msyYylW8EKdJmeF55
BWGsAn2kZPAyUpsEcg6EZEUljyBWoda0FzjyJvi9Y/JbYVLKQWNqAIexI7dRg8RgkaheV8cFoPD6
SX1hSE9srdkvzwJzsTi1dX0ytqEWuwDKGpMUqUHbhLzFR8Vhh2FuItaCn9TYDNlqpcQ5Fv/8r7k5
wBP0eq7AzESbu4R+Gj9Mc93alMDg9tUNh5TqYK//7dEkbu4gXUZy1nHpg2nV4ixbm20Iq+pz2Hfq
tbXALtgrgWWgjRLnCb3u7ejS4ZK80lPcDbv7jiFA+z5nOtxpU0XnKaDOtlPOJcw94rtNnJoxTqoG
CzOChhHapy3qyZ85b8+z0lsZRhXekSldgwRFRUCvwVKNvOJeLVcFXOWnfEMbJ1VupwCN8bsV8ki4
69B9HxQhNbmVZrcB4cwHS2/PD/Zw+L2B/9Q+XyfdUIdfbUUYgUzhp1c9NGx9DltkJwskci5/nQ1W
D/Q2hFl+G1DymfcBr0bDc2+DzPA4KqYoPKuIK6yWyn6aNFksUYOTrN/SgbiMIUnul9aT9HGALAZu
ZAQwd1pqU5xx8hZnz6Z5aLZ7kNMvvbEggnyn15amaLKoZmQqviwT7YmswEXMtrafiLmm2FLHXvH/
lG/ok4kwgr2V/IJixh6wKMRE8zIT+USSD0BGRzWRCe1lddhCwQ+qneFP9DSZDS82zl0O6FNb81Is
5ti+17YBMDiB1TlFSovW07A4WOvvbEC9PYc9D8+vMjsHXA0m9uVKt272jWlqIVfTbrY+jjjoy1k7
851mWH6WAd2SsU6MiiPrj1s4vwWpl7xHFXGN30x/lPTWDs+aYaYP8wROYddzU5yE66nLSdaAN1up
RA1v73XlVLd4pWOv7hceaAMOyo6KOB9yRlXeSQ0qiOJ1S4C0kHGrYPgRbLm+PR89Zm3Mi1tENH8k
K8lPDDlpOVS31qdS8JIVsshvsVF+H0ePq0b4u3Oyw5xXZay4Bn1t0oWOk3qlKyndeJgJQorxY4vo
WwavuCFziSI7EbjGRjJ1kmgZl904cMOXEHFyZQNl/vrlrxdzaUqOGIM81C9v4kyVHConsfbzHd7f
y6HJy4Lot5YXunChTAQeRQYiV3aLYh3+6uoV67X0VzrhKViw4a9+Du7a+qTQMTj8AugCYjZdfMQf
pq0LWGZFK0yA73BkgOMbT4SZl7h3he4bmXr5bt0Q8J5Bdj94RBHFbDDDyz7t/5WIxPozl3mDvPFJ
gHmEzwlMm23V8A+6o6FlhU3cUH/hFoDDLFoH7zbwe5uFLUbEi0tpyyOa7z4z57sgw36j7DxcJ2kO
slQwuwg4JJ0zLldikup1GFz3Fovw+ZmSsB7+OUD/F+7o9mE3Ty5YMqh0/xKrAYuvCkbD6S6MYksj
7ghTWySzmGnBvDAGBhPQChpRa2Qowjma1gooYwvEbT9KCbT662b/8w/1i5f7j9Q+SDtQvlx4/nD+
3b9oCzI85OyoyLqLpnEIBUW7thmkDeq8TsZ41HrId0zv636BcEijMwCylZK7G+TbJIfy96GceKiw
1qEapF77XRZ1cB/6Gc53Pa78qaFbFave+5cq3b9OKhYZP9vdD9AJApb88d5rmzTRLDP6i8yw1WUK
pXxD7ukeVak0NuHbJsJR4W6kJr53C6eImARz4dB7v+9e/v+q8l+tKvEM4bL/F4HrL3zE60KIH13b
f/xhV/m3v/X7rjJkIRluLzAeOc4vRuJ/7Sqj4Dfb2WiIIRpbpGI+/9b/4iNGv7HJ49EloAZtMfTD
v/MRHTacEUJ4a0tcifjJ/w4fEU3t9iD9wyuCeRi7Q5wPNvXH5pPyJ843XK4IUouAcmQaLfQuOmJY
UnT0KcixNct9RexUGy/OSGgEgXUW4DNYJq6JNb17sxYiZnvQXVPk3QiWDySsb/Nau+6LRVp4tZs6
65PZLXtuZrrOIoODMzJAXAO39ncr3OcUGlSJprfFP+k6m/jNZIQDJ49GmeOX0ZfiCgOw9aKZSZjQ
vfNpTGBvVyY7BdBx3+7PYwk4++xU6RCcO4y0mTvZ8A90qY2z5W1glkO894yVaGvGFMzDugCprFW3
7BxtOkkeOMMbMucJ4HNgi3ddOQV9lNLIFA8V9/YRtL7xE8cWbQXTPC2erXzBRTZn0kh0UY7+ia0z
PT7V4NF3B/vUBX1+tOeSaIdo2RPGsG0hVQH7bbTtY2kXTwtH9J1fBml5wR9xrkHE0oalC41Gj/hY
xxqe6r63jI+5Ig0lNMtmYqYLjGQFGN5j9RTNycipu1vzQHn71TW6B8usvesx8ua91Q+BdRqiSLVX
/RqlL2sTBo8y8NIn3S92eNJp7xi7spNeTQvpdiqB+FO+jpyBqEdtkntR/3EN5BgrrD4v/aitya8N
uJZDA7mCTidlkbZAb2OuysLEyGS+Dwp/fVAicwvzmJIfcFHBWAO4QpFh9xPqBQI3d0G4EBTvpqo8
hEuaXrhtY7/K1WEqXDtjfYrqoHbjPpuC4sI1zLB+KTT64WfWLdAC9oOgkzb2uGdClDzaQ7mY3YlW
V0ABLGuvsD6yjoOaO4c1tocacd90bmIzuNxgiD/tZzPFXjoS1qkYV4xtU58USQh9VdVOZVJ4oKtu
qxra0qiH5c9RFW+WY5jAejZLCExhQSrZAwkjeKpmUFjPPmWDvvY24+51WmPix7ZoeoX8En/pmRig
oBIH4Vfds2Hk9zNUhFjzzxyydSZMZlzeLHMiPyIo4H2Ny6OJ/y6JI8j6QPHKs2oM8yQ9tzr0qbIv
I5QAcdVZ3b4zEOQ17lzg6V63hylswVfrZT2ZilfT9mv7mTSEd9GHbDesLIgJ7zASF6fVQyuCvidX
1ylPXTF96lbXl5oEmyvlBwMspga3OtAq4hSSzpUDGdGS62OwOmkM6E7KiAwi6sscd/f8h0dzBdzC
wiBtJSJPkxnE1cDN0DoA1IYlO2M6i4iQxfWR1uOxLwwYSW1hxaPtpYmrS+uOT19eld5i6Dide3my
HGf4QVe7kFXscHF42S5wgd9VgXS2pFKIAEqdxOQ9Kqd+IH/mvFrpMdKDuQXWPBU+5s1mF10G2fTQ
RbTJK6mzIPf7DOQZX+M8CWHTdkodw2W+LlkBgWrBydSyJgsjXaHkpe6L7yBIxcW321lN/aN2GUtt
MZEkgmv4Y2Eg0lOWlUQ9bTpdAEWwCK9diYF92WAUCgppxQgf3XtSK8S+mbVIgmiceLYkmiHuh38k
HJvI+TwaLkJdf60B2gO2JdEl7vM42WnI1Di3lTd51Je0oKgheCus+yxX9yMuzUbIl1pbcTOTSfxR
b9WsGlKoq2HZGVdS2u5DYSv/spV9nnDD9EEiNXwLVP5KtBMbEHv+mfeNdZEFHY6LharxA98k4UYa
XQ5L4ew7yvp9j385GcB+dKrK4CH19f009uaBMkG6fWlMQUKiRP+NujLs7DFIx1g6fXlT2gNxvX3V
H01u1MFs1XDjZV7+4MxzdK1n82GFE0skBy7tmU2KVDTcLnNzwMSXjJRSBphZdQ/kylJd8q0/M8sD
cL/Dx2vdj9wtgChzTgeF3V5l4c5W9k+1qPyD3azp41RN19JQOpmxRn8OjPLZA3iNa2P86Nbo1c/Y
ObHv5TkeJHv3mq2XPR0YLyGKlsfILkkKhThwY1uZOk6h/hI4S++JK+4uUN89SbypeIArENQmr8cr
T03mTW45D0Mkz3WXv/gV3vRw1InedpeYSruHSvzuRlOXOK6XVFstlUZ4F3bOsSvK+WHm1pE9MmJC
QRkN36s0s15r/Gl32gl41QwXuUAwEo477jGev8QZrz94o7KvNKvNWI2S/BoYA3lSLXV4rOdhPeVt
f9FLTMKLtDoymRVJFuGHUrC34jCrkzWNgjicgL0IFxjcL0IO+g1AMcKbZTXd+7zZwINAq2u2Qkay
TCPxN6WXf2KS5SaTPZznQnEmTPWz5Y4Xgr1eNK4crGUU7W3dPxLWdaOKoPkaZ4FR4PJaBlW9H/k+
ZGC3VYLirrgaF2BS3VgHl8bbToAt1psZKAfcNyVrfVhz68orvOywGM4Sd0PmvKXtIMlYs7D5N3SP
FXUI1xYPcUfcZcYIS7nVwHugMYmEX3KxtERJWJYlD2KQw9kGh0sK25YX0WCyHnGM59yYtuMZcL/1
o9gIvZvJRCtuiFrcmpkc55271C7rv2UthwdRGuEp6qr1ch6dZ3c25SduB6QipA2JVQeidYAznNrC
/sJ1W5BSzll7P/bRV2OMd1YeFEnvTv1D54m7SRhGoirMvBf8uSskVVtC7AG76PaSVfy3sENQOhfE
+BhWv7f4emQO1+qd8upeTNaSfpSrpfcTwtcTRp32vmzH/Ogz+schYQcwfl2+bDe+RRmqaqJ9jWtM
xKsXCfmBPOUu/OnjCLQbPGnHXu7UH20YLI/BZPhxNYRvTuXJBB5N8AJEUeyM1DcTO8jLJ8BME+K7
ucnwkLk5ztzuZnd7ibhhZcwKFCAlBJwqIz5eprtm35Tfpa4+F9MIHqJIjN+cbsTsf8hvAA08mOgc
2UEpLcD4ApeUZJXajaWp66tuXVvApYFw905k15ZdX/RVWiUsRRjEh6h9IPNbseII8+EevkF4sQa+
+mas0QVe7vPT2CEcJDKIIPaI3eYZts13VYVfVOf6oJhodySPDc9FaV35womOMtLLzpuMYp9KnwMC
me0OQSZoFXGEIiHg3b4RwELQtT11hkVODkXfLefGnaKLqbVmNonqq87wGiQ2rGDPJkfrkQLZzXtn
cAhu8vspr4+uyLqD27gVh1dniDeFuOcKBNg71PSCL+aknQXUuw6h/bqL89jkjvUpas//JMyBffq6
ZR+lOWnzVk3DAPH+YOPzBu7Bms9txstgWA2ANXMnHPs2ZVBxeG+FhoHG7mDX0HkkOdS6LE+a1AIT
v9KIRmDMjtkjGRa9tq5ptBK48S86Wk++PX1vU98/KtCVXdNLKA8ga6eUVPp4nb0o5pA8ctcuvdIl
LYUY6l0N7RxkfXgfe7dPbNwzif5IHRIW2jTWqeL8q1o4dQJoLJUEUIdWfeH0WBjmuhwvBdmKqXZu
yrx0ngsXT+da+uFVkTftVdmD2FRB9Lis+aEeSQ1Aa+nCAv8c6pyGqQQ2LJv0mXx7BEnK3qWG6+zA
oXFR8XQc4nd9qf1F7AOFtlnw3DVsoWOUiVbSGkImhTuSbT8ryglAGi7dI0sreBBrlb9PEV6nNPgH
AhRhiUfyeW7Zc2OxKdl8NFeY3y47vLSaHaNKyeNhMMVngeRMrNtT27oPES5VR3atX7UYnlu5QOTy
SZ9rmFPs3gOtmgRrcdnvpLuQMiA9fW1o8iD1atgv0F7IDqib5nnuCUrAkJ6jbsGGvERzFTswukty
sgAiy5akB+IaGyXnA8SkKCmQCX2vtLUjxY0UJ0iS+7n248XEksWfw/Q5sOqzygf3RrtRnwxK/KT5
BYrMu71Vrm2SG5XNLR1vZ5AppNBD86zdEgN/F0GHckW0d/GPoOkOSeA0yvoactnmiVE1B/i76sYP
00+z0zh74Mx7zKdqvldLYByizreSpQ7oeiwZ3ZqyvBGoBm7gdSVNS9bJ2ukqzl1zubFhIRlQ0fH7
ah2IJ+MYB1EwnRH/fW+ZN2BjvNnh+pFJ/xhY3XBmzF24GNVhqtdTGlbjfjWMY53/NEKFo5zfmWer
K+WFqvQd1r8QXnLKY67CBAjYPEjJeDva2jnCbTzarWfFTllegYlxgJbmpVmFz+CByJGL9WMOhq90
yD7btuL5aZ37ob8O2vS5HVfytGaRvRsGC8kBpBvIdU0yJzivUfgaynano6g9VhyOMfQuSH4A2TD+
Tevsuogs4DAkRleaST+Qj0TwYmbeVGk70Z4Zd3APxjCumnnlSChTvi4ngYpNQ+YHXEm6k+YJfl90
/sOBdIIiYlri3LE7gtZdGEVsHpq3Gk1ZiyDZajB+s3GcmFunpsFrdbCDxynup97uccucFWZgfnUs
CyPTibRZxiZt1cs3e7IKOISjx5Aj1fM0hPVpZHd8oquuThEpU0c3Eu5BLmt2NZmDfyD992nRsEuw
LLiNwqG8E4Vh/fSKbrha88K/hDKlL+x62WLv0+VA9qF+csWCZYG2P5jhy+tKuAz4mXm7rtkIgt5m
Z2cOnGSAJH6NhQ1cmhXnJqdlz1+ShHIYYWQe+ihg/cLSOnWEOI7CcXfZDPOpIduD9KJ+S4mA3Ccc
3NxdTDt9WTp7O6/TW9/qfYTQyyfMtYitUgD6XnPFaGoJV8TvQ5fLydP4seppvLGalraiywPO4ugd
rjWB1GHgoALKx9iQnqAN0utuqvjxXTQRgsmQRfoHj2sD1chmy434OGmheB9yGHcn+sZT0Igyqetm
PGxC6j3VHEFV44l9zZK/xOCIYSp8QEfnHhmFQVycuXwbq4hcktQ1q2uOak6hiWnhZumiK3wewlji
QrWzidYkNaxJjJHxo7VsdRUsnckeuS4uuooYH62J5wLENa/6SvWXXev8VCv0wghxxTZb2GtxY1Hd
9yRvNnel5ja2FYvSqIIaXNdTYkyGFftt0e8qFRpXk1veFTaZhFXbXGd+8NKGUXekv0a1KHn8u3k+
CMs8YkE+EhKCdlbisbQxcvhR4WDHRdH/WFt577f99SIJPdNLuluhbIAybDlQjkgatkLx1Od8PfZO
bJsSM5+pyp6ZXuQ4wOxZCno0LcvlxJuaIB5CdDP01EjP0vAJx88xKD/BsLEVVHds4OdT0S1oVZS6
okS/YFIgILzNe0YtnmSLLNZ+7KaYt8G8Wa3BPobzBIyycuiyMDppaT0spYFoZtivo18lkHFExKCz
im8KpTA6u2kKD3ZtPVE7H2ySTPlGY7+vfqWohVOSacbB3jARq7NoBBHYWWkxXeagyeiexKfo2+i+
zAxuZOgdFQuXnT8763NouXd4vUJNlZbNKtk84N4axC5xRBgstIDZPntoKPRB+dSk+Y/QUjfdal9V
of/hWDZxrR8IY45DH/7U2z7LDItlj0UnEaZNtFOlSKxSlrtVjT9ljzdZbVTvOWrAvXLtzdbfSCob
sRvqXbCStYyynRBgAbm10raUKZYi5Z3OKdBJN2h/TiRykFv2cPalQU8v4znDsnYaGcpHtWj+ECe5
HCvoUKZUe9HNQu/yPmDD5F9JiJlsrxKSlxsasaoeDqA4GQ7JA8lKqxUoTuhFDWeMhwiLgEMZxThA
6FNRq/QupKr1cdtZ2iNClPjBkJTa1e+fDNdvukMTdmygtFFNOnGsHKjNZ0ZYKB/2UBxKN7IUpA6u
kZdKMAe29+Z5QPf72VWE9vbQ+6MOxCL+BUL/n8brjz/am4/mR/cf2w/+ormgzuX9f/7xl93ffp39
aDf0+w+/2Iu+6Jf74YdeHn50pPv953/8zb99+5P/u7/53378+in/EonH4u+fI/Eden1d/BGI//WX
/g7Em5EXYfGIF6aNLuh3xVDk/cZmDcsTNOx/x99/OQhsehN2L0iFtn+cn9/n/+O/O/5vpgkpGHMs
pBPI7N1/B3+H7fpn+B0vJIz/PLpxB6fTPzPSNIb1alBZTlanSZeJRNtHa0jKGjnX0nfHNzNrghvD
89qHAvfymw0xj1XYmOxvo6HcW0FBSDJZnAtyu7m6zcO+rGLfEKBxgT7OUeFc9mKwgBkLmM9eOIcO
RNfI5RCo6POXHMnwWE/t2cxYFcStXZ9lrqu7oHXCY2NG+TEN0oAM7prePWuQN3bQvo5rkesTqwH/
eui2UksWg5E4wwJw3UxQtdCVTO8V/MBqNwdkyjgwBImz2zoH2MoP2Iuh3S5wTDoNW5Ls2n4AC5DA
UKFKjYFXexrIKdtPrAKQyc7+7ZTOYbZpCLE92zhuJ+Ze96LStvE1tVr9DGQR3TqlCE8tSYQ/stlO
Fcwoad0VBLBtG3z94HbudFlWgUkcXVUuqH1K+0dpItQl1BpCeA1xGc5Y5t9kpsiuiI0zvoRPpEFs
wfC4MVYlTkuhXsdoVmwGbf9Y5eH4nMu+f4yiHl4M6iH9ifYge6UqVBEIMD0n8drlAJQVrfEQihOT
bgB+bhb6lHtRFdC5W/pDLfM0JLY7fcMLh1NlEPVnTcD6RbQW/cHCEfJrNYf6XJj61lgz77LSvbzU
ZA9doWPBo8dD9RygUbF3ZMczLZiIvDX3M6temXoB1LhKAz8NL6eD3Tn11WKRhoyg3ueLIlTFxSgd
zlbhGTBpzfw4I+d9aoWbf6v6IsdhUkiCMBZkNXtET+S8GqlHJGFub0b6bJUrIGt3uB5c8i1gBZlO
RSTvmB7yFfoS0eBml0ydyHf16iDE8qJ5+lkAENI6zo7ARbLu1qMsc3FX+N4cu4wD50y36w6e2UD8
WdhcS1I3zzYrqCWpmglcClyNc8prZfaCBtb242jI3E81Ty5beenR99dMQq3EmwunqCzY0fTRh4XC
ulkbL7rP0oVwMmJMoE8z2C/jztceSWLR+AVvrjqhLyIorwS0343o0JnV8/mKaCgi6cqoF89RW6av
qFIy4xJkXpX7SATWd3DAbkD+PA0PI3yOdD8ulfXWR3VKUyfUcG8NQr3rxbSRtE/WRwXYQ8u69Mum
nKvDCxiYKJJ1GOGBay8dLF9ndtGyw3+Jh9RyXpzRzK+UmbufNPyYL1ouD21CIixm6ZkI30tUjtck
Wi7maY7w31xBKcHuWDZtzK16rAnA61rUGqL58LI8egb6/zTMSe58qZ1ra/CXH57UrLg6y2rFPg1T
8VpmtBiE0yEG42YJ/dYHjHgxeytJwFHboyUa2bmh6o3Om7Bgx9l/b3UIMglS4X3mFMZcF5/IfVjL
NaFl9uN13BzKXVnsXBDw/YrR8yVJ1sGlZ3ZBsjo5sKYG2T62w0BFAwohKy3CZnmE3fZgQzM6toVZ
zTsj6lN37wbafLPxs2MbRjEdbVMi3BBNUR6DXtanbEE1Axi2Zbe3Tv+gw8LlwgZN+Q22u0IOY4F0
U8zS4ZRmcNBhBE3yfQwWqdlEYZtGVjVmD565dLdup42v1gsA+0l+He8WtRgUlxUSXmuUkWYH4o5Y
axPj7U/L9EPV+fS2uMK6droibfb9ROw2hLWFQNEoddRtvkRptYOYRNRoPuHIahuTnVimfMyqTu6Q
+UwAvRp7t7pSO18Ely6B67sR98T7CGb5bsyK9FRWlM3WctVxNpunTHjDEWFmGm+EMLALXWAba1SL
YGkx+ntlzuv31RmxjB0tpCKtMzTg1floQ9gJy9sZets4XBGh4ePf6+pJFt9gADPfLIErKvM1XCpw
boAax+p7KCZLV96mc4odQVT6t1Y5pYfVqvWDj7DtwcdN4I6yOB9hi6ynMZte6FPFg4JJ+DBYXWrH
ZlGmLxOcP4jrLP1iEobpaBEvvITC3yYBLMYewkKKO3OYmzvM4dQBsjlsrKJyb6KMZQozNhAo+zXK
NqddMjdLcTPY0QAYGaiShrdpbkrC2l8Hv8KBtKsZwrrakLzqEaATLrb+WVl8fNZz9jXxzSlT3Nqn
j26o/RMZmRNxh4AGcT7SHTursdwKLA6INzdUS7Tnkt5EyAYe2TgFp4wv/gUwv54IMPeOCJagjaZq
fa8w48OsXBkrGV71QrtIzCerCrKaemRRFfjPuBsKa72y+5V8ywJr82Yq71Q96NhTtnObtixuKbIV
zKU13bYWNkuVNiPZenXRjIVDe5etAXJdrueTbmfrDA+PaDTXCI7QSPACQEDIQGtPrNajNf+e9lAA
i5npLNZqlvw7cCwvF7ZS93alp2O0RNFptIbuRactrFrLGy94n/yFpXBLgLHEbYZbBA8tJl7L3LG8
z5lmnUjdT47ZsEItHbRzGPqgmMBUo1S1e8ukmV6vQTSfOg5GJLS4bEEz+zLbIvqyOscmyLNDZYvW
Mn83p7RCXWfIo3ByAy7aSKnh8cs5pN3a8RKEbsGhGMvqjk3I9A6tbtpV2Me+2W1BFPhCRnifb0UT
p0i7OK4Ez6x7rW27fRRL9FrYBCXvR+Jw5ZXq1GAlpgjtnMXCFL0VRlo9ejTt6s7XXdFdOEGkWI/4
foUmpLSUebZ98BzAY0uYCu0S7JxtX8+Vb+11edQq2212HMvByf3gICM/SHIhCFkts+l+tWx2oL0m
9hTuoZG/etLxCswteMUTRMqYMuiJzTawPALa1b+2rHke2XNmVWEOlzyytmYrNArfwOU4Xd9oe+dv
rG3FVznO9ksEJ+DJUpm8VKp4UiJY9tCimlOgOsz0h7HBV2R+8Ov1jQL4E9LZR9n7b8EwDZ9O29FB
uAj64s4b3gL8qi/8IKzvUPzuifI0ztwcGxdg2Pui6tVPZ/VGEfdSVcyxoPEFEHRRX+h26e8db6qW
BCgfaEpqlhJPoT/ofYOP932+0u+wf5o8LE3+r8xF18WXbrv2Z//HSejXdPP3Men/qekJ+7J/Oj21
Ar/VP7GYfv2d34cncg5+M21IdPhgmaYVebiX/z4/4V6PGwOIlePjBE3+HKPS31lMpokNgonxDWsF
f/Ow/H2Kct3fHB8JG2ocRh8cYa1/Z4oi5vhPU5TnY9/m8J+D1U7I2ovf/wempARdQgm8wJoFpaVJ
Mf4ne+e1YzeSbdsvYoFk0ARfub3JnT6V0guhkqF3QRfk19/BrFKjqy5u923gPB30S6EEKc125Iq5
5hyzRMSbEqz9buvl89GHlUhHfR5jFuVO2NyRcjc2BQfi713E/jz0icfg/zWTVpM6bVGKauDA3xZl
4x6pUumwSmnma402XHxKF6e91t1ifs9ErMkuDVRbhiblWmugmivqgSre+hWHhY8TqA3G8cwqR013
qvGqHX08eCHAiqDWzR75PStwNtYQ9SF63dUcyEXBLZCEGLNqoZd4Vl9GJnmu0gm61ajNmUlOWj9o
LUXC+OBhBjICeEOjHMKY4yXpHUDa6TQUg3801KBOY11mCBBppR/H1jjY2WBvazsg1KQp9jCKnrVH
XK+/FbvNT9rlcsCKir3rrK9JYKXquC4YLQuB0or67VAXGUsSXyiXW2y15orQz7oN7BsUlZBXnmfZ
XAaOXnbqnnHXdw9EWDPvMlm++41nhPgDGLJIvdDVsZx65XSGc/FVrPMdbNOwcSaidQclm4QErLan
O3zE5CeLVXHlXF7tWY+XI1AEJ0l6caSHI6lhWHV5Mw7+ZUFgZ1e1sZhebb0jpzhk3OKhg5ICP1kl
VgHYWRM9Ex7tiBwpZX6izND3G2y/LpEuYVtPXTfrB5Y7hv7OVN+svB2r+wm/057EzYbvVVrPPhuz
PRd8vybSyin5vSE7ybhbUnJMtDQ/eyybeaJUHsElLYbslKJ8C4og80cGa7UzU6ZHWpen+46GK4af
NONtifS/nZscmK9tgYvO8po8rLnsCSTmhxxeg5U2+qn3BofAlFHYMM1UUm2Kto/PUjKWbxzBs72x
MxkdzQp4EQzR2T2BBVZ7rq/d19puim9231piH+QkC7jbo731MpIsqIhc4LCBc4d3mAWxI+LinDFD
W0enGr4kmTP2m6V23Ie1qcPlENbEQOYd8xJnTrnHpmccRuFg8+LH3RWUAR6sxdKPFcH3ddPDVOlY
kY9IJqchzG0TZiAOC4RSu2NXknvVaSSkc0v7KGMg6gvn6slsOTOFoXQSf9/mA3cm+tr30sQyMBTx
zUsQJbaD411N3+/eE51HX5gJgn1NsIRTpXB2eZtX58Hym9esW27Eut3H9Z19H1mduUURwBLWWncL
uVmAS02/kWzb9gyanKEd0Zg/azpY7ms3j9/jJl0uqnWoKxjz4tgVSJIzELxDlo35IUo7Chvapvtu
T5QzNJ4KnmPHAKQspH3FJP222OZ9JTIMd6zSr/kyulfmQ07dWTd9clsyIGFGWzzGCmF/hj2AkWiY
lzqmwMsUTx7xuZ1VdeKn4UuWnz3Pxj5fsv409MU3j2gUjsQIe7UxzG0Q5qPnPDdi0gk7+7H+5sg5
fmE1S4F3TVrkd3aNxF4w0vE9GuNUyMLeCNGgMQ3EPyYTC0KuMcNJsGNwIzK9F1Usj9oFXTkRcpQh
MI9s37uxxRt96NOLFSTDC5kQdF+en5cOUgxva9bz9gy1ApXIzaPgaOCcl6EkeXCWyiAVhsNZftde
lTwEhUyPY1RX39G2gm1hMvqETQl3ZzfXDolw0yJVmT31pZInfKl6m/PufraI6pahNc02ng4RbaYe
pdtEp5i1i/fN99v0lhUMJfVgii91Ea/8wwGr62Q52VZTdPXZlRN0Q6tZnmqEsw3HyekTK0+CsyKr
7+yiQekYff2NtDMOHFv0P2PWaJscfsquLpLuoB1bvNtYze4XCzlqJIb5MNPFvbcK3K42a5MLbRPm
s2+pJd90gKfafV138Y7+bvOrbOgvcSgOfSKxU/eYbRLMqdlghI7Vxz/ZpZjHaqz8z4ITAawx3lq7
hUvOJunn0QuJ4EzbqubKL0ENhr4cvTu7XeINn0ixd2LLfo3boLnIyU3OdaAahjfWKX1rchCcg2T+
kc4YdmgDabNNa0eQTMy54JRjsV2OdOuFFub906Lmedg4dvsDdo3YWboGNufa9R2GrWxjiFZdl6qe
Hgvf2AEhDu5aTH5AKec0iQjJGPldYlrtlq1S9qXoRlJEIOHv/EZifJysDpsDIJYnh7D7cZS9PtU6
Sh0kS4d4CcGwezU2+acyqNtPsQQ8yLItIvoTpZdBU/2eTHJ5tZQz7yi2yg4z4vsugllEGq3qkq3D
o603HOvM/lQVy4irzR9eHThTc5g6XbU1UpZxnuuQ+DIT8wEMJEskH33jXNHw3bO/m+aLi3aYb1JF
0kbWjuB57Kd3R7M1c0csfVjY8LfiSlvOVmp532y+v7Gpoyp9iHvOQ15mBp/mxcVH5izc6CXQqDUw
2aV7L829K7HkBqjbiBEVsCWLoDhCqNjKSV+Htlb7riFB+0fHzf/00uB/33BsQ8j9V8Px7cfv6muX
/3U6/uOL/pyOWSEIqMH0OwTMoQy6fL9f0/E6OLvMzPSs/WHW/8dwLNgjkJaRHusHX7prCdSv4dj8
T4Zh7KN/G4alAynVcijkZSh3+cX+OgwXYjCQIJLxKsolGBM0dU63vIsEcK4ZHKWfOnNTYn5GvOAC
iI4B2GB6cVdxo1tljqKUKB4Vv/6dWmUQexVE9Ic20q8yif2hmNhC4SFc0uHdWQUV9aGtjKvMEvQy
vdmr9JJ/qDDNKsg0tDFsMFCKW7/KNdEq3JijLNGDzOqhX2Wd4EPhSVexB8P4dHY+FCC9ikEm0JM3
2vgMm+VHHTwViSyf6GB/81YhiaA4ktIqLnmkjNdIpnrSsYj2YhWhlog8ujGJ/pw3TIUgFXMSBpbe
OQmclTDN2+JlwH/51fdLqsdB6GIAXzz90HIXf/B8L/nUAuGZN1xQmq2IR3sfJD7Tn9smT672st1o
OiOfVbPSVxVP3OXb7rVEvAeXYYHFBQQi7I0JQPGl6geosZb+PdewykIx5lwEjDG9tmnF3qZq3O5L
Wi2MAC2v4WuRZ+VNTmMCAjFZzqoksRImzPzbYpT+JquIPIZZZKQPdtBlR6OI7/EQZHsCE+SDEpeN
LFGtoznVjBNJNVyJy6aYVEuP/HQ5zc9cGYd9jkhMD3Zu30vMT8fZbqs7vzWnKxfE+UgIX3zNHFGf
sfH1z0CSCxCjuZHvKrvBK6oS0gRwVYa7BQFk31q+sa2iono0elM897PTfybjUvyc7c58scch3Xoc
gCBJusZNALCJ0Zjeea6QaltdBVxyZfkuVDruLdlU24pr9W6q8uXAUGgQTVAahb3r7q2+qa+Z7vUm
IFvfhhlvnBiCahB8w9bOXqFVFpqFsYgKIihusJ3DdPFYdaPJgixo+91MQWpYmjUGCthrmL6cr6M9
yku1Rj6J5zQ3RwHDHSqTDTp5QBqEYshzlhHo3cjwe23o1ToWcSOP3EKLH1kVZw9mAzApzePlPnez
pgkzNzK+4QCS0GjjDi5zO3lYjVlHDpcq9XxWo0lyTjlXhiA3si1UT/cd8435ScGzu3pBbu4Spxvu
Ur9hLwIId3wk/Lt8JqBPsYZRNPpCJDJ+Ia7p3svWQTBv4sM4+mxSzK5HJedsmLuinwm3LGzJLavy
WZq0A0njnvyC14G8R7WrDDZy0uMmnWXRiSYtdXJnbs4hHndsQEwAnHI9FZVvXEYa5pqCbH/cmjtk
f3eXGo155ydWNa3gBPQkRP+dIiZzX8ZlfK8Sx4YD44kvBfuVPOSzrT91UeLHoZbD/IyEJuJNUxX0
0mZWcmS+LM/DgvJF+Yg/RZsRzNm4h1lm3meRwHQPRTcvbwYGqDffqtqGtX0dAYZo24grSdos26Ws
vxeWCbJg8Ep9Jxa/5C6fu9BVMwrE3+IRGPYus1zq2guDlnaRWhmSbFa19l6jsGHGlo1+tAvT+qS6
qIJUy3mgafeFV7OuvYOMLnXKCxeXg7b3TCZxGayEZ49VpTaHznwGIWjP3mvsl03/1K9bUHILJZ/2
89LYhF02kKBL3Wyd0c6nZ5XpWH6D2xFxnkv8wpzc13LMJmofZIOXb08Xcp99BzbXWPmBdIFS3LhI
sP13Dvh3FgNhroUf/++w3+3H+PX7X6eAP77kl0ZmcasHjwmPlImClT439F9TwJpL/SWK2dz311An
57S13WUtCvtlLXD5K9cDTyOR0T5Ggl+Wioc/Enu4Mf6wWPz5539m41v23yoFUcSIQ3k2uT5Bo4v/
dzp+0jt6pCVH3PlR5xORd1xOS5aBqL8U4LiSsl0p2PXZs4LWwubV4sReMIhPVMAcBrtrr9B4Bvvd
TZb8VrNKZeeI2Z0oVdNy2RgYstlEOuN7n0Oe72MqppNmtrkej5LbYdNnOIy8pBoPwzRbTwO0ms/V
GI33iwoizWqtWs//i/KJ2kVq2qeYoI8+gC/sb/k4hD7brYMX8CuGTcINDXhqzUnNmInMO/PsUz2r
5RQfA8dahq3OM/N3YINQhPAJ5t9b32jv09gdS3xUpb6PYCVgyyLJZ25B1a0Nh1jq/VM9KwdpxRoQ
nPis8reiwwi/Eg3mhxYUw3yKjYrwAPBkbZwlv2B9caIFlCQf5FI82ng2HwMni5+WLB/v2wKqdIbf
bjslsHo2EXDPQzYp/1gGRdXCVq7h4KXctx7Yb+WcOBxF3ulO5PZr3zS9vzTbCcxn3x4jy02HQxnZ
uEMPkstdvPdVai7mVmelqsxNXkl9E/5SUrDHEdA4OZ1VDxyW45bsQ+Y5sqpyICiFUXCxbQqnE08j
HAcWqZ5FRshNo1Hf8nZ0gojKnFQFIfQ0Ve657Mk4HAT+jpiwTZJF6CSzsedUbnXTxu16geqHROD3
1475JdlyH/D8+giryooutsIiuW2dblzfOHANFp250Ed0BqIdUwjghHPfD0Nj3gBpZb0g7dh148QF
N59sEqPvMYKmvXzm4jpX6jvIj77EgJUvSxE9/veC9//lqQLka/2rC949Jpm6+ouj6o8v+ccFz/uN
sw6mICq4hAdX658ueM5vLnoW/BdIPObHiejX9c/7DfvKCgjAg2DirOKi++vcY/0WBDi0fA5FDvVT
ZvCfnIOEveIR/jnZTJLB9Xw4eKwuXDLOf0s2591ApegQpA9ZDrovwKG3OqxUnHv3QdQ4zqPjtao7
UJVQKfoCqAhyw2lMvU0eIZ/rW/vxIfERDsOO7XIvnpI/PkmuHI3chJdCpqAZK+rBFzIKD33Rmt9L
s5nMKYQLmsqNshKJk3+wamAtdWLncjzUgRPvSjAc55Vr8VPAIIH737Xyd8PO8U0zOpz93Gnpoo85
rPR+8YQsFR3iBS+MwP3E0jat104ubxjC1lZlHi5FoyBdCMd49U3jd8lVl1QqKxCCLD7i6JieMJln
V5LE6ckf3eHLxApg5zCreqGqvORJsZBH76n1/DAOZMIQwqdS7UTDIw4lBV8ShmvRbAMz4S4QQUkZ
03hDRNf7PZ3G/rUbvSS7ueRyt13a+PepMvF3zejyKcz6laLsJ2uCL9ABu3aTijaOT31fbXkl5vdo
rklxUaYx4C+K4mffEdTMdvVMvmfm1z+lXpRclknrd3xQlnvwCFydYgg5OyCXIFhNCwDn3u89nLc+
+51Ps9KUoSJkURTqj+XZ6CqzRk1BYiPmssh7ifltIKC1+kQyaMhZ6BNlWLZABDv14X/93COgeg88
Epu8Uz6WehsUid6yasWkbSqPwTRLfvqqoJ8tTvNjlzrDfoqFt3XbdGBLkviP7eJoEKYUV2/tua8f
YfeoMyom1uKytR4NNwB+NJbeOXJ8jOZKud73iRXWVvOhuWEdxNmbzDVA8TCe6ZLet5XRXFFvs/nO
rAb4oWfY+pNsNoFbdVLueCIc0lpQf5sHoElJfVrw1jqhKTgeVSFJH0+FA4HoK4t0MFFhUtGVyS0D
QcHZlrgFxOPQkeoNF2v0n8umAkbnG+Tx3wo1+rS01OjlcxKg/+L4p46FLKffbUHRdpwQAZEGV3o5
ku9li2tmkxV+7oeFnNkQj5xSOljUur51BnndseqTixdV01c4kGjoeTcNO5C55XyCl57AZwN5rTjh
eCa1mFlh10cAcATEegso6GaiI6Q/moT091Wcpg8UWFhEmdqR6FnNKYVPdiQJkohmxmbOXZvKjCZq
xvG6IFq0QF8dujYSXs1tM67LJFitdJtnRhWgI1RmCmqyHEr/Ti/ldCs61zyonHB0EtPsyzvOMcZN
hmy5LQw/vRk1vGzuj1GRhC55A7UtCzm928gJhx67YHyG4/iEoSRbHoPB+EYureIzxZ6QSQg90b31
teiWPYXBZb+Ph7l+17gcnVDOQ/KywPKpD07UqIpUM7MG51wCbEeuRPOzA9inPtmu15MbLQpciYVJ
CO8EUECcRN2onyiXr+4ACQyuQbc8j7k9NscpT6waDMCst7IxrIvoOvNuYefyCN+JzyO53wyizEfr
NGwelpVtdli0kGeij9g65WRofdXWVF98QfX3lp/EmQRu566w4sggOlVY9R6Obra1F0c8GpzdqPQZ
EoCgQWZfao+YkJCZEeyMtFl5momGA7Ww1TJFYfM6506c/a5aP/uamb3xKlQxfu5MPaqdqh2HzxoT
7tbIFrErLc/oTyqOnQ36F8FoNkKxuvAPHKI9lGICDrO9Zo5DTy5lcmbh6NqwfmAjNmaYEewct3og
FG53HjUqrqdidmC07R4JEAs6olFL8BPVACChtlbNwO4CkePFmmPxxuDyyeEtTANWp3NeG0h1R09O
/qMHjWAb99FMdDBpTz6bRHMHuwgYtgGiiEDHpJ+qqHNuQPCGEeAm7Pq7SdX1HW1+pJBlW4v3ttfv
MU4PuN5euhBISKNCbsbR7DuO9Jke7hhosTTOVvdUYp4HXcf9K3609BgpO2R1Oi/zsRR+76MIOXTU
ROcWK6y8OTK3/gAB/fcA+W8PkJzm/tU8tbbXnX+o7sf8l5kKqYIv+3Om8sVvFNp7lKo5WBk+6C6/
DpG+S30d1iAf7/mfc9OvkcrCTMFZT9prT5nPGfQfI5WQvwV8O46VgW06Foim/2ik+rtbfe3WAEMo
Lfx4tu8QrvurtGy3iu4m4hZHuMep2FRKoKLFtcovSTS6Fxa+7fgcu110rs00GU5jWvWPSQNI+ZAT
s8gJDo0khWHOpBs/GgSRfgWguNExN+vISR9JI5vkfioRxgFbqAUr2g0IfyK22L2jF21X7jt9Nl8L
PMAx3+qFQnr3uc/r5bFTwQtOYCJRFU13YQ30DaqihcLLqni5Gzj/UlOOc+KpIzCINak334McfTs0
jNR+qqopP3eKXXldypSkF184AYvfEVDXt1LXpGsMy3qKFspvS0KUPztbkdNsaqFp0i0XdYpHjmUh
rezNVzGS1F6mLtgsDnjkjycqX+A1ra2tvP7pxjA6vnqyRlS2XC3yQGonqDdZOZwWQlgbmDR8YedO
GLptZK8s9MqgDD6N2dLGm6qQ5jtlD8ud14zBxrUBDpZ4OY+4SvF7GAM/3ZJU/JJTn/dd2gebKcXc
ieIXMCoyRbFTnTqa+1QmKXezm9j4PAz0ZJAf4KjlDcK6KtkF5mFyreJtzguScmM8WO+qlBi6c23y
3Yoy0feyKYyfSzIFGy3a6Az/Nvlu0AJ0a5DHDh+/X7f+VryzFRwE/nuyyXBV4Qf10fdweO5NNVQH
3KMjUWd4hGnNk4w9tudiCY889PvUpo8JY3ISDj0MzqvHfjI5RoVF0woCphL7xPXJvYll7dHKOJ/D
Z6nz8+LUp1E51D+BPaEDKI3tdwh60ttbzSxJKucQSoe+5L1AVP6cDV235acTEu86N8VRDP0HE0Hx
pgxRPCeNmt/bJumuktH6JVtGuSc/qbwtmp44Y7aNL3QLJJ8osxdhEVCbazS82NLLiL9h6Uzp4uNB
ZgtStrvY1L+6JgZpNsg4LeDNeCv2Av9dNc0HYLXBgfu5+Dl58Dc2kSrLOrTEojlu29hQ9wG3xeSW
FzXfK6BnYe/V5LNt7B8jr3A4qtrPoMPl3VME5BhK8ZRvBN1I26U3o7vSK1MQQvEkD1YfWHtVJILu
EZkfSqmNGpPhGhDXfVrKQ26Z3XNfO++wa0nSuuYnpIcZhPLYrnYFIubLDjPEXRnDyt10luftYa+C
dvGxVQ0m1gt2mA45vUEqIppF/dB5S/nYGcLbT/NcPgD1s84DEN+QxTAHJDJYa4C/39mBs5wTp80L
vCKT2EyFK14x7dB+WM6E4iMFe2UiOxE6HZaZyq7ScYNgnO+rftQ7u+5XdFqULZth6gxi66K7w5CK
tVnCbEbzdh8wL4BmSMb+g7FmgoAviygLpRHQfRWss/ykTf99JMhwF1kW5QQqywg2MT3NvPRLQ/VD
RV/uRPK6ZvqcM+FxJuFrvi5twIfeyBTwCwB97XNLRi0j1mIluyEZgQrRnrG8anc20b3b5DYKwLeL
2dRvhufOB7v1KU2hYKIGRRQ3prGr5gXpZix6cppJBdZxqEgiT1worHAoJnM7et58maiufUz00n0K
ePzihGClsxPQ6nVUX2KAnRHwHmP2WALkExVzYUllF4+/HYYNQKna2vhVozaqsJMXz8d9xAoFSwfH
zewyEjGCUqlSQiaZDWVCeA3DcjDqQ2LG1Waay6/1YrY7lc42cZzWv9XzYLzk1K5Q/WhDEw0mnRHa
rooef6xcFFoYdikfPwnFZ1zM8bxyVeq8Ifr8cWVp8z76GegyPxc1n1DORRahnfVTBDfUfdZ4zN/U
RDe1ZxDnwflP7hnLAXcYxZh50BAvTywXbIePw2Q/4VvmB2FS0dvKxpO8KUbAkxzcMQQkkxFUN27b
842seT1v65p+a/I4yx3UTPeP8vj/jkv/ZlwSLjbAfzUuvaUqTqv0L4r7n1/0a1hyf7PXMi/ifA7z
CPfHfwhQUvzGXh0RKeD6vGLy0Kb+nJYERD7cqKx9TOF5toXK9EuAItvHdxPS5J4jbXbi/9G05P9f
SEy8VqvSz7fkt1hV/b9OS/hvKFycY+soJcsyhoQaSYiUIo7wub2mk9jpKvoyV9IF841759Ucmnjj
mKIGbhEPN1Hz2QrUKMDJRFa0AzsuH8hCNMRAqjWbNQOTthx5aqP+JRoJyG3mof3KojlXUMl5gl/J
qFRvds8yuykn6hBH21DfXWAdlzqJg6uDN+orTvWCj7fduV9F4/GPaDUL3nqvNn4QU9WvuahL/SPw
kfSyc8q54ZbU/k6RtJCxzi5mljfc5seoepmEg3swjA3AEUNvYxi1k9ogLOs2fUiFw7hrJGdXH99T
2JVp62x9W+ibpTQAcqJ0XwoygPal60fJ01Lb9tHSU3yFBzNsCB2yzUXq4zDGYOPuWTaT3eny351y
qS7xBGzZlYuzdSkteFdZV+1cK3K2BrVvmyIS05ttZ/NTCbchRicfgMY2ZUNIYDH9g47gPnOwND73
0JS3MFr0a2LiFyIWBIquXcbWf2u6FOej72kOrItaIL/qLMLFEAXk4jd0MPb2PdyIpd0bSK8vqpV0
PjYQjkOvmJrPTgwems2R9YIDYX2WmT3jMKkD6yXI0TCxBE9EvdMeM2lBvL0JoQqbIxew3rp1QhCd
9vsOO6ngQlbuQAnjBZAJ8aaNoVrqNyYyGBeLKzY3yfV/CyvjdYVeg1TVDhX/jp0PX+OKOfevzUpq
Z2yk88zty+gt4yyYbj5Ugn501sheEnPWjEG6vEns0wO84Ch4swYDW4OSVArz1nSgelsuD+ODkkxu
flhIuATIDknvfm100XYHp5cKR7PulktQzfz8ubTqCxXF+cIyZOEBfTCIOVs4hB/ypUjO6Av8ApPV
6njnxxnPbjlGlEPR9kj1TUTUe0tsSmRbqSEFbqXP2HOLSLFG+66PzPjUN2MKirzO+u9ZRvQtzRf+
TNcR3xansCoORZYhl4B4GaGgcdPgL9iW8O3BWvH/ckGoCRc75xlUENDJs7Q+t1GvdE5ar30DS9c3
nz1yQByoGx5ENNjmAxwdj0YSfiIYvVzvR8MTp6nArxviguP5zaZ4jTflvVwZYCQSnckel4NSlvPV
nOdObpxYEyM3VfO55S4HfJFGpmOcZq7zSIo02OWQautTip+820WM6QKrXsr3j0XBw5pLKWmJK7xP
YP5m4+3jt5TFMsTHYgYYhAju8su61H10oWEL60bpGwuhIqe1LOy8idcZ9E8Lo2+CzrWvi/Ultc31
+ZEraPHWz0F9Cbyuvswcf7pbMKewMmQQdxyk6iXFoGys+hQ77oM/FVyh4LORnitNa96nbVP8XBZM
bWHmGet7Co5THcauIUsyfuOqJVmAQuHj5XqzZuTBSQf2cuwWb3oyJ6kfRkbrz4J3msCPM1ClVSQV
NOnAgbrWy2FTc+ogE2obUHo6m/3+UFLdsZlBZ948048uGSGmN15MNHLArdZTlsw97CZF+1fvDF2E
ecbWz5C6BGs7We6Jq2LeGWP3cUj77ltG/pTRnpvOWxEU+ll6BrkZGy8gIVWUGwD3tXH1TMfg0ZU5
J82lRprd9JMqQB4FFZFSnjJ4+ZreefBdgf+tZWGIk5JKtRVYMSFW2WA2TjGG6hPZWJ7fWSfRm0ID
uHpYABlw7XK6nyyXzOMY2/HOILcY0guDv4TSlgYMWCrYbMgk2eDBiB8rq6meSAVAwGdMzwg80LRF
fnXx98ak5h+OX4pzpPr0mI3S+l64/vIm40H7NB7QA9QSKf4hCNa+DK47M0eSokKRjTZ1aryqzFBv
ie10W8DhoGKLQKaH2WL9wDqguFq6AsYT6ApMUgknglkSo+naRkS1QnehqMGHu4bv2oEmG4nPJLO7
C4Br+oyQO2CYLiq/g7HpQuNam4+gQ9KCBHbdv66lOyQiyx8oJ7QlLR/NSZog5rla65SKyXiySoMI
AH45+kdYv3TWtcBx3T4iSCan0QwOpCD1fhnFuO1Aet9NQ8XJxxiih2rEaUlnbAiLphmerIpIYjzh
B+qDbsFgM6Ti2uRIfa9RI+o3WF7quZicB0qQ2icsy/i18fs8cWDwn6FtQkAfdC/vW0eax9SnFM+M
E/M9tifNOlm+LLHtfSJLbx9q7dbq4E5VvRYdE0o/jkqvH/zpCLuR7XhjP3QdVe5e2ST09OJTvTIz
F5s5anvzsUtIaGuCPLtizVIw3SpssWNPhQXHg8rcJlEyfYkaXdJA5wxutjfLYSiPc1vQ/2sA39+N
oq03Upv9i43D7HNqB2bHrRAKzpChp5bwhE6jJ3hXU8n1RXN7vxB8GG5Ytb5MSrZrJ9VMNGTSjceQ
H7EkpiV6y5rZfp4Doh6zzqxH0LD9z9HR6sscxHX7VfdmMT6yn4hiQnCgguIirzZNq97teYkeE+oK
toRNgeJIS1/HnmZGug/C0fc4znTCuFeq93adjTxPKrn8UfQYZtslxbfuzvZjlvbjZ9Yf9Dyh1T4E
TeDe62HCGp5XeCHI7wDCwZKf31FUZlPgMZjGo5PX7tZ3BqixZeHTXe/pc9OV1Zd06J0NyfPXiC32
OTfVW88tcZdkvE+hM3227PiUTVl3NWbXeZ9YC5V85qCVWFFn7SJwlheAdPG9kDWZeV8d5TCBdfVt
wowmaaDQrxvNkibpHR4htH47cUQBhsYeem5+xg3SiH1AZLuCW6hhI1mfoszxKYbzylDZtGnRBpjD
eymKrQV5jmthw55Ke5RaiiBatrGDobvyuIXvA0eYOrTtRjzK2PEeZIANvCbMz42+GmseT9Jv8kXv
Db8f71D73LAZ4lfPbK1LhXl/awlNs0UFsy5gT/+M2x+bfcb4sadnJ91qG6DtrjG1gXjjueQiuyR5
gIYq9rkw5xcTVfAyd8L8BEKRC5QX13dcgWhg0oQst30ZPIreJMdRDQl/tJ3mgrW1fYJWBfhgrrpp
N9QVp9EE7t55cLKBxIFnblXknZCz5LXOKew0uyLyEA3osRqSd2DL0cZ1LclAQSf869gELVtbDQSr
7cTZa0p91GZsh06QyL03eLwO9G9NbP2AYixsFQdP7ec8cfkklH0OxcBt904KiPBSJAHmCL8sDs3k
yLcm4IGPjVbPUVb7ewIRUbbjdjgdgbQCglrtcDJiI6iV9QSNuEKxzBJnu8xxdwFx4IjQTObhopUD
5Ne2tdjzNfrOL3UiNz7Xm+8wRLyfkoD5Dv+4SxVLQBaE6Gt7DPDa7Ip1tGrKjubrkVD/4sCjotYk
83DttQ0NgCMS1SCHu2kFAkVzQfZgbFfWrg/1h8a920KPhnjl/pbf9VUhknFTchp/yHpU4C4HTjKU
OvaeCoiBC4YR0u+IBIwF1eT8nlu2Ge8Dr8J2OJrMgrln5fcxN1kUXH2lg7vbzQOp8E3WyeixYwxY
sxbQXyucrqicEEOA3WfMWE7wGQmyflqiiUBbGSf7FmPulXiwe2urBBAplWYGq1d3OAPA6y/aahHS
qlQ/WG7fvSRTeW6n9tLIRW/bwMacSFPnN9xTIAX6Vp0tmiMOKpZvDGrT3mcVPPrKeczGuWCDRKNq
vgckRCAKw+hk7dNgWeZwcsBh0d3zf9g7k+24jWyL/sr7AXihCQSAaSayZSuSoihNsGhKQt8F2sDX
vw26XEXRLrk898iusigwkUBE3HvP2acCc1jacrkbHJNguLwsEBIHNsYuhpqoBKuBG+JEy2U+KKN8
0ePc4aHSyw3MJ5Xu8BW5w69+3zwAHasYm6p0EJF9KA0WtxMMlEObON5dbRWfCEibkwsYoF506VTm
cz8FzdWMQggBJ8/CiSybiO850zlY1Czx7vC107NLS/5NTRuVV9Ft3XTtfu35KPJ93Gb6tCSipnWo
/Ni7jdF43bL7nWADl8Z0fFPJ/4k2bS183ygzGCOgRhMU7ehDMGQJqvO3dk3Ag2QBdWZ9dPVaOrlp
xjGR7EFO7j+/0PoX/eFCgRTsCGD4bfnuQija4dmSPHIsksJ9pk4tcX9XLWc1vgbx3KXYvCkTkJjD
uK2bz3/36r7p+ERh+MIMyCRfBSpvXakGhBUTYAo99sZ+kNPkh2mbao4ShTrWs8FVZe9xHjQI1G1+
czv/d/0fYp53nx3ljW2uqEoPgfX7zw7PnpjOSNXHzmr42wHbMrpEzWI/VBmJQqGw1jimUWgA8TFu
w40Jho8aoIq94sjg1Hr4+d14J8fhS0eF45BbQAwCdon3v08cTAOpvxQznlLiNDm0H9w0sR8IS+2+
Bsr6q8RyFyXRuxsgHMt3beF4puB8uPok3tx+qA4aj2xXH6sSUUKfUK+B6+IxMHqGzXY9vCSFKcR1
PPqDc1JKOpGmdW0k5RU4IDLGDVZzXIGVUDelGi1ibOUCcse2gseROQoNb9h4WAWqiLN6KbuvZmw6
AV0c0S/3tjQitWvnXB1TlG6fgTC7z7U7Tv09KnC32y+9ZYGCrqR0xBfo/YB60Uasmd2R61DgxRSg
OdvEQ+k5zeepIENsZcN99xFF3ztBTBnXtx1/XoI5+WzCgZ8Zkcyo79kwTapqy4g+LEY3dMwJqBYP
PoO6o+YPqhtRN5Y8qMSS866z/PrzawOkxAF5/fql/9Pe/Iv2JpWzw/P2Mznx9H9X3+b0pX43DV5/
7HeFnbmahNYWZ+CYUv4gKTYDjEV47jF8YKOHafafBqfHD1G5Bj4v/rtxMJNidPuYkagqTZs18e+M
g913y7gZILdB4u7ST7VkwFL+4wtGrlixTHGVXSpwd/pZ4AleE9K9XuzMBIEKvsBJTZk+puAjSuNU
20njKpRKXnWsJxIi4FTor8oBnbI1zIbgcWT5y8VcSe8bPRovxB4h1dIeqz5G5sUArZi0uDfYe33O
prjibWy2BeFuDC406RDuDoVolsCNTY3e+zDSUSCupJE9WQb3pLJH/VZOY29+Lig9U81ByKCrpiBq
VuU59Y1pO/se6JoR1+2C4org9jm5BL/RNv59YnvLGhABFY6RjAXDcQHzX3GseugIILJ2PiaZgk22
9Xqyo6pm9FGYdGZJtkpKdDd4I7N9SYxO7b220bdEaFYwjvSU8aNSG8uXpjK99OqfF/B/krcyFuB5
/ckLWKs++b/wOX+f3/PbD/7rFQwYCfBy0R9gjOQJlvZ/zxheoRhsYwg2XNKtCPL59ysoeDlN4g15
dxEHIpng3PG7yNX9Zc3Z4fU0bU4kKDn+zisoPK7/ZpMToHLY3hDfIgV0ffG66Lzd5JDfNp2cPfty
wZkYL4e0i3UfQXcguY5UHqMXwa4pkaNvRmRm7cYXzvLZsAtJRZlax25sjEsk6gjvWqPcx5rC36uX
7qqOqyNQp+HstxNdSsLEL+qhMu7bCjhEXcXGRZ/6K6mhlPcjJpmPmQ8RbTOQBnGwmpYM9Q6Hu4Si
QCW7WHsb5EwFbD6iq9bit+H3pivhxsc8Ta6kgyqSQS/Dtzb6MC3tDfLH0OM+bsBuWMe2Y5ruY/Xb
eoU8WyIKI+oFlHjt18G1pnDImD+WoyIe3Kn0VYQObDf1yORHkxeOIUpbdMYuyjJrr81lOWB+QpQZ
2weE/dUn4ueyXdesY3GknMWsblSuxc6I8/4Zi6GzL7zSBzgLA8wpJdcvsbpzp0TYV35w1MwS7ogn
qcPSIoW6yW20FkhXsccjH2MecqN0YG5bsgJ2NEWZ0iKP3qC9dXYJS3wYp8ABJgxEzIeK7pyn3lVi
BQx2nPIuMMtp14NfDMrh2AjU81Fhg+kIiCeFy2DCsjUPBmiGLTjcR7cn6J4pNh+iyfuwxwUfFnqI
t8o15K7wh1/LDn/7PJfnhrr8omE+S6jRvHttA6boB1wIhyGTFoDxrufRe5bHgCCQXoNI9HOb3Igl
Mh61k9YbB/oItnVM/M4AndcWYOjR+eiTzQj8ASgctkyCe0P4SxC6ZssFOmjosJtNEVaclRnWxAck
d0xXmBTuAiv70syNuGghGzPXgmfuOi2TGMoVp4gPiTN4FHcgLAssYnnWPtSdfPTn5TKzJ9oeoxR7
o0rNnWUuycFryufFzb4QnicOqygVtNdU7cwgM86tHXwTi5GFPUFJIc/EA1qVjZx4JHwVf4DpV++H
mAG3jVdkm8c9KUsIS0VXmBurd0+tnVlftFisba66i9nIf120mHfU4lTSKbudWxF+vSzQlGFzwFqv
sjb04kYckwV0g0j0vCXhpw1zSz0ZXV9SZs9RSNkP77bW7cHy+QZrJxB7iZ5oHznZR2XL+Koyk3Lv
+L/GQWee55j+KG1846Ggmge4KOkYeEWa3pUjrdUKGSMUiUQfwGKqB5ypfmh5QX63gJ8Nu265QjNT
7GGLTDuUNHK/5MzbXbRnu2oGz9jbhgmIURFegmVwB8YvgWWZ23B1HeS1XiZPlg24Lo398WjT6+rd
kcGdYQ6hwS7/cXAd7qIP5N8WmbeVnP5p37522WqisNzM/Ai+k0hzg4jndd6wpz/pbYNhsUCt5dV9
TtDHbdQM5tnqu8ndBBKuzZbQ52QnG1KF5p5ALjjbOeIIQjv5VYdLj8BD/qBxWdVpcQA4fW2I/FdG
MpjxKx8IeYvbcPBHI/QW7mezdO7RSwpI3475nROwDwuids+rXZnxRH8P1/g0VKM8+8iiN8Cv7mSU
tbuJAS20bYTjy1TIUAgAZHYbvMDfuEuBxkTWcFsMhDSZWWoddGp8K8Wi94S5X6jeY+7Ln++86jBJ
DTcN/t2epFRyqJlAhDoau02CQ4K5bvrc1kAqYn+5Rwk9H72RIq3IOaBM/tBvLdPXOxutUqgq2Ddm
LNWVtr39UNrPQetg70kRNkBJdu8jO4m3pccsBI25yasGqKL9NnbMpL0FWp2rMudgFsBmAMDQ4Sjs
cZdrCgzd57iRgtI/JjR/iVb9ImV3mcWC2Ch3fvSnzkNvL/ttoR0JyTWtHoJg/FRg5wpp4HyDYwi1
IUr77RQXjAqHC0/06rrx7XNa455wUU1fFYAgK1PdFklEmLdDTytq2+9KEVlBBim0xWVA+ywwDtPH
Ja+d4K9LTfjBgdaxzzQTmkiRUbg6yZdA+8GDFvpIM8a6QEA77Edbt/veL9D3+lyxWpYH/E7pbQdo
IbPYhGYjmtHAgI3KrbjYKyYciPPd+yanSkRTnV7otjvFCocpaCcDPg688SJhe6FrLD8X+fw0RcNw
9DS5A4MNRD8ukv1g9xNJ67OxJ2nG3dLECm76Yrw1Yw9vN70RfvHpqmm7aNu7aKRKmLgEK2C+S/dz
myIWkGQDWInxiTihbNOCIXKA0bAWDsPJHxfFWpMqLMyRPLL+pmdiL6ZDbLDKATQllhlg6gaYCyyq
xXH3sTc5oMQbaIiisQ6xl33C6uKeFsN/0H130eX0zhoj/u4YjXcuqiKi2VswMm2ktXdrD2MBE7yz
3zCnrpkj0luqoz2zlzokkACL9a+F7Kr+o4DaQ/YONKU2qI4z8Sm4EeYez/702EdjSexP1souK+iy
Ms71CSRRAdlSHuaY9SUje8DtnGMLrG9EgtQg8/voDBNmF2iyzPDw1bpdzeqdM5RvphTLvB25d45A
MKY+12QMLdVZOWPnBdus9ikJUEAWqZGQatuoRal/jtf/E5EbUrX90/r28Zsqwcq9LW7/9TO/q3es
X4S3OlMd07KpHlem27/8sqigMZvgD6NRBFXOfZuMiUfWcm2gFx7VK0ffN/Yx+xecaEiTKUd9i9Ou
97dO1j+cq9HLUtMiaOE35CLwWdba903zyLewQaW176Ld6RDHJZDfs7h1Nm9KjtvfOpFvTbrv+5M+
yDo+I6d0bMPciXf9yWgYWwQtcXQcsoqQY+aR+ArwfZDZN863pURyUCww50IkaH/VnVy/rzelA5op
Lk5p45sBtw2n8LuPSCo2CUM5J9iY4M587ylCMcfZ4rquSfAtMMrnOCgbjFhV6oRM9NJvs9FXgLJo
lYWFspaNHghfRq1TbJ3WaM/DCifr/KwyMP6w6vVaEVwex6ivOy+6K9HBhD+/gX/6IajLAstFm86D
9O4Omgy7HWTQwbFdZns3Y67dE/QgTqk36Y+tY47byMoZrhslslsMgHTSgsEP3TpeTWlpMGP1sefb
Gu/UxhyRLxCPsexHPyfEPiDs3B8R5ZRM+/Ya3wZBLGu0+M8/w/s+5fo9+B7KH/rhAsP2uzZKJxyE
zx6pURjXyIYneX6DxUUfvDr7/vMrvW/Bvl6JnjTf/aqKW4GMbx9qFEMd5RRXGqkdjrA/+PKk355J
VW0/mC7H1p9fb32C3rbf1+vR60fYyyOOD319At+8RLbVoToyCq4Xp+oDK0q3QYkSXP78Kn9y/wR2
K+pzH4Sa874NFSiWC0b9/lHZU3ogRvJ74wTpMe/8h59faHW0vv88LorBVR/IuvCHRSEDoRVAffeP
NnrT0+J1NudAnhmt+eJ0iT9pYyWyw7rZ53d6dP3LppA5+YZWdJcgIL0oXbf9oLRETSNHmmUN2SDj
ZkTTfYwLAuk5tuhDyrP5cYxJjt86CzqSTUxqKr6CmItQIdF78m1yWGzZfZrkkh5//iGRO77/lBAI
LJYGz/YgGQTuGlnw5luLyEcZGEjNxylzyA2IAYp5cdSdcEIhCMo7eyOd+jtyYCN0cwJfeHizI9NE
zlpW0+/zRnHCI5kFjGvlhICjzU8W2qdrN9Dii4eGC8id3Clrsu8tZEIMoFBIbRXKwwdggAHA+JS4
mzFBghdXdoi5Tx+wvsPYjr+wnOVHCWP8Jh5s9zimNVIyGSTHsonQSccyPdJ3JDCN/K0dmhTr0Dm1
/6AiNztlRlaGFUyYfsUAvCRsPNsSzfhJNMt405DVBzJ88cRl6bfFYYyku2tGW2ylwDTKBJhArd6K
62Ou6vyxx3VatBXHilIbN27Q6K8a/RZHrqTf0TlwDm4kGFlmMrG3JMtIhIiL+EC8nsl4rys/0THI
vwNFqjl8moGGUw7DkaYB4PxNDWf+yfOrPPRKWx3dIChOmYYGg5xc3sgi90MQS2t/tUynm4GJ1q+c
ctxnsyURFJQ/AQn5NyM3/CvSC42Q0EIUQp46lyW6dFo/7Y4mxWkejeoaZAqCCiQ6/SZWUOMMChMU
6pfr/QzhfEICDXwDL+5EYmvpfHYTZO4CBdwpzsvyEkui/mgUOf4KkDXLNfJApI3E+9o7k/0FO8vk
kJUV+Mh4hPPMRL67zbhP1ak3h2Dbep3zkIt9lTQ8EWORb4bWcZ5R6NV7BEpG6DQz59jVB/qxotFC
wNQ88dWQ29MBuj5OetgnCQyGqBx2rG3jqS9q1B8GSpsVTPTVAScRKmk1H7QqrtIIQKoxjXk4xgUO
3ShXG+yWtIBN80zOEDOwWJCfFszxfZXFVwTbfUmg6B+TvjdR8hCykSn5iaoIy2pVhZPqIN5lMnjs
3cjfO8j4Lj00JRhBcijw4wIoyXSoOTMo0f1oouoIjIQlCiuqtaY3iayeLww/Dg45qTVb8pqiz2R1
aX6ZmeQErL3bBPltjdW2pTBkM/JCtiHq3diXVZhNKWLVWNoH8AnGhbsQ9NYb9GoUhoLnbOpMNGud
5zNIh5uLeDZrbpba5BuyOqu90NoSp6Sai6PlpCaQXF4XadDryem02HQEdphJUFUQZLhZ+oSQVTOr
XtQoYuQT1vBVep1+ckY1nVEdjqd8JC95pNFxqRAIHcgRRWERmeNpQMd4Y+ickKJCY5ikMPY661Sl
gbcAAmwluZDEnFCJLfNHMYJ3pcOenEwy43aiQMqSaQQxgYNmF0Z9dZlixqJiLCHm1vzPjMDNhlnB
3J6JBkDzUhPVYEifSN7OzPcRw/vvY6+m+pohQRFGDYeCZdQmylo7x+iOayBFPgylNPKJ5RhQZo2T
veMTq7Mn8WoikMtRMpv6At9M92kJJnFj86Je6xS/RJhH+M43ZlOP3wjYJfC4MBf8ypl6Sbw5xpOT
eo9J2leXRHRYD4bJ+aKomwQf/8TpZOTIh11zTdcKMn47sgZbZuGMGEBS5ncFOp2njNDbMDeXKUwN
zoWG2+hDkVtIS/HF7Js4GB5rhMunFnvv18VITApiwdpDxsSmbTh+SbK4zgtOmqPWTnPtJAuZ1J1i
55qQQG7pfYNEwta6Q23OJ6cne7O2HkN3cOxd24Nvg34X3yxeg6cOxxQ/YwdF9ymWiKsH5fCb5ANe
sXHs+UiGXDtIcEnQyuWZu3OCxL1hGknabNWlh6ZH0El0XLENPFIoOau4GLMRJnGOVOcRbT69z0R/
5ww8PqajYl2v7faMSXdEROEK+2Bhnj9EleGiE6uNO80FkhCfOMcLZIP82rjHv0yUlqgFZdLfmV7D
v+XxcKdMu109eNaT6btUvbRCvLGtDx2Z0ROdSNO5cGfz0LcsCpYaHPw4LUl1Kxa6zJEdjkWW7Gsn
SnY1mXVWZNhwRvsUNMnkEn5u3qqognCQJ/F4UM2okwO338tfyN1rk0vVlS3mLw02uZ+rQcNgU8iU
MJBFl0FUug0rq4ZSA3FeJNfzZM/l8psi4p+B7F8NZIXtcND57/OgmyT9cRT72w/8q1r1zV9AKq4s
c6QrjOffVKu++MWH42Stx8/fwU//ceZiQOH8QaK7fC1y/z0Hwpm7Ahotalgb8y5n/79TrVrvz8CY
Lzj1uSwgDj6YPwDQ0QzHIB9cxGgkEUehnS35XbKeKF1CSLbgcTGC4YLd0/Jf9ugyo7OP9eozneT5
o1v5uBNk1n0ykXR+imfWnjd38n8oc/ntbMZhaDBcG9PNatR5e6Kk4FIRZYc4ZaOon91EwFY0k3VB
XJX1LZCfAys37e+mxrn782vD1Hx/nl2p8BZjdOTdkGVWL9Dbq0MSIi92SFsiXaKnso0IhZyGNLjK
A7xhoWxc7xIZTSW5TdK7mEWQfmQdT7/MS7V89YYOIVyzaOccF8CxcjkUh75QQ75TbS0/eLT99XYe
iAWMprK/tBqn2TPcIaaYiF0YUyWNRTF25U1iaxMsnkVfy/RbwmaAoXvhMCxA6fwhMdqN00uGQJm0
P0O2JcAa3SU2Ax9NfCfIqKiL4Q7HX7WvSZEhNrJ3fDgsLQUr+TFJtnVSsSoolYHmy3sY5kUVW0H3
AMONbCqSXHFTGAnHHzY+ZzxqAwVkDh4R/knPWrR409jirqBb3iQVacD2rJ+qzC+BDAIDv3SnjCmF
0v0ncDSYo1MTOfHGtJJ5ZFX25RE/pd4jg5akjmGgNYTNmdGUdnsH8CL7YHagW0KaKIzfa1OGNSwE
FfoJ0uZpgPe4H50Z5X7Kq3Q3R1iLoGi3smBIn/QPFjSVXdV703AK/KAgMdCu+rs5HZhLWM4EcjuV
lrkvyULhtBP1Of1vVzYW9u14WaNcFVCeOE7tibU5GNgaF4gPDdmYRwYXtrEpBFyUyXWfvEz7hJPI
6jav1Lzv4hYC+AADjQEAcSab2Jytvcnuvlc93lFd2MZhsf34a5vY4z43UzSw4xjypgYndIXl3WLr
Ebt5PWTnJfPxrLi995x4fXNcODHvgqLpjzol6WpPrmpMImIGMHBLj3pm8sS49YCE1QIb7c9nADDR
I5llw9GfErqmhecm38RkjjcWgdPuJq2QPWPcX6NjF5pVrZtWpCJCVye1fFxcZyM9ouJD3r37JDYy
55oEzYFtBzWsnO5JYE9nnCpehcMgciJ85tkc0Zfy4Xx+rbIkSsGGqgw/SD19JTsG38WYE52VIHBs
RvOqawOVPo9ASMhVr0Zh3wDT4eAxLPSxTCcbn+ScUv9rcNHPi+GwyUbBAKnHs1qjf6migROQCmCg
bCVm43TXE4Rq7OC46KtRWxTEnen11m4YjSW9106t9RGhKhoOI1q9O3WlyjhUQxI3X0SA4QIlPxPe
DT7sChzQlJtHzPMJWwGnMZVgGQtbhjnPXU2jzVK64FGfzfqk8y6/I6pgXQzh4wCpS6ubbBm8a3uo
WzI67YCrqfWz6QT+ACls1rRr4R4wvBlF96lPZQaIMx357ZnULce2xpuf1tjAusitP08jvNZN4I7N
GCYTLzJAoWGVR5vz8KtJXqpJ4LhyzesgWh05jd3Uz6ormFdCMsE9uy7ljK25T4id7R0aZ9ZRdG3j
9Zzay2OBYDStt/nkLCDo57WiJ0dNCEs/u8OgzObsk2jMP/IYIBfPkbYY6YAAXKbxqYqJK8ccBF/z
mTy/kkdHLQiR1SKvW7SEY4jQvTb2E7D3bAPHk6O+bxc3ukpG5qh1SpeHQKyZ0iO2UZrVvFgpc6Ub
5RaA5KsYdmbo63E8zbVH3Ug8QVJelobCBjLxG/DsQpM9VRbT42vRQkGFbOVGQ1h1yvtijFjjYb0q
wvUKuFsWcW6SY+6QEC2GfMCbPteQ4K8TqYMyxHdfbyJ0kifkxlBQp67+tbP6jyAb5GkMgsxdre/T
h0EWiOuNXETjwU9WiKrlp+VIrgVSBeFm0d7CxH6VOCOyWsOAopwwgHqw82GWzC4G94W0G4mNhRTQ
fT2RYmHXsD0Ly50vBXabC3DMyeXgLWoV7TGKnFu/cXc+iu8Lh/yNUwDtDihrF+GSZp/BeuYEOhQB
QeEbqy09GyZ51wEyxRSJG6inOXSoJof4OmuUmQpZxwH1xa4gW4oFvyud7tPrPvrPwfGvDo6MHzhR
/PeD4+23qlrTOZ7fmZUBLq0/+Pu4Q/wiA2TInvRR5q1u5X+PO17Plvg+0ej+NgjhePT7AdKGlod+
mHMnkr0VCfOfA2Twi8ckRHJ0pMkq1yPfOzroz2ihtvxD148px+p3M23BYRbJ8o+npIInZikbE/mC
V+U6RGXPbu0Wa9hJNNfBLkD24GxB/oOHnHrZBnjUlDoJv2bfXVp0flvktGTLt11fuGGCxIO2ETUX
C/pLM/bRzSQBE5TaMkNsErO1WUoYqEDUkP9nlsbvIAsUJoaDBHfHWBrLsJ1EIPYxQywHg3HEo+o0
9LQVk8C52tx5xrJ8jGwDioIovGSnXtkKMMlaEvNW4oL5Sl+w5hXE8MpkyF/5DPUrq8FcsQ3IbqJw
SCocWUv6Db5L/DKtmIeZn3lydZ0NIURpcZm8EiGAyUCHQG2N7WhYoRH1io8I/Li4GFekRFon/dW4
YiasFTgRmRHsiZpRzo4jE3N1vKwj8EwwFfMKrEAAjtW3xEmxCZoIasGKtvAVt9kySENFKJSYZ/JH
h13F9AaZBWAMO+DOixWWMS1BeduvAI1+RWkwNqhvM07aN8kraQPKdXWmxwuDbQVx5FPi7W2O6f12
jdIkpzI2dzBUoXeoHEQX+aHmJw6k/eVQi6fOjft7qyMR/MDRHQqIjacTw8UKB6koix/nIrf32bBG
xILcgSKyRNGVWNEi2jHzLaPBheC8sbsDyuxnOykj9+yQfPEd4lm1E6V15423KxA17OhhHADa3Yph
YM9C6eBcW6iWP1u6iT8qoi9vxi5zt0Epd0bn91sX9jhrbl8eHFpXZyLHKZ6brPoAR1xc5cL+lE5C
hjltrBC+hd5XdHvv9eC2O2m45XGC5m3WFo4mSOl30dDiajM6L4xmMZ3YnCAVsR+XAuVCMph1GC01
e2Aw1tExCyJ3D0s6/x5M04sVBcYeDllUQ9UprDseclZeuNFQ9K0SKGOApxN7I/EktkDf436oedq2
yHAu6MElG9rMdIWT7mkpidFZUG7T8ZPWxtU+v2UHAC8eCJu0Bis9F2NiPAnPi09NkbR3LvaYK03A
1tnzOxKsjYT4X3Bf20Ko5NoZW54bHtsJNzMusYZDymaokjTMTAFSkWqIvYe96U5PvUvLLhV1fJCi
hFXw0acDle458E/rEdpahBzoMyZx4t9NuMlkQ5cy8Id7287d6d5FZ+SKjdsCk3u0SALK8Fpm6YVU
pveh97EafprFQqduwA3m7Kug5qBSkE/L9cf0OvC1TWHagOwoMosUVIX+Q+2EVRvuE0F5VXaaVtXw
pqiXjE+TmYuoDvR81Hg/pqmYQD+9HmDj19MsbrIx+5znuAerkNDTCrRw4nb2VjfkrodjR0lDxZXG
8efSSmPa04kF3jA36pLHE9GeuZvBqwDrtNJ5VdBM2gO1j3jI37Wl0+cxQzNffMZtNvUvXh5YufzM
PQpAtxVDX585VzpA2quIAQD/kGQVEi/sGoAXzaGPHqp8kLADW3oCW7tXNpW6QRDBPzv1/yT59dDI
/2ynvkvqr9/+79QVz9XXt8IE+7cf/H2ntn7BkGYj+GXntX/T9f4uTLB+8UGzoZDy2JRX7cF/9ml+
AkWC9JnmU9Pyn34X/PLX4a167Rnxf/+NPZqkyvedDCbEjimQ/iH8RUP8ro/SEiGvyoBYYAO+LNTC
pL4PcrvHOuYH5S613aepHMcrMjpSmEzNU4Gx/mROlC31ULAqLwn97k6UYNbKCo2a+Uh/PiZxs2gz
VjL8SctgYIWxPDoH2vD2mYZt5uOcbwDkMCaybrN5Us+BU14Bcb5iRT9EPf2mXrlkXU+0CkiL9Teg
gb4P5pBeozmjlPUahMFV3W5Mw182s0sRDsX6og7MW2l1SPbU9FxDQqSLiqJJgObGiP69KzL2Z8y8
O6/2rz1nPkxEIGwJOP4e5NXVZI130ewSSpkOe2HnV2Rk3YpMX6CwarZ40jewZ585RdRh3S4vbg86
aLReak8+tboDbEA7WpWJ8ylqxTFVvtxMJrSAulujTwz/2uqdp3wsnj0T9bIZT3cm3sf1DvTsgiFx
6N+zBp1Dh8B37xS6Dp0See6wyrvGaXyInenOr2a59ZFunlQRvHACCA5WIo5xTPzdYENmLTC/GVPH
jTFNyoz0bCeDvZ3z+UEm+m5qxFPi5GfqsWfVZiCV3GsvcVbXmOh2gg80ifR73etbAYJ0r51+T7wT
9YlYsWc0n2YKK/RR4APsmhtlJ4pkMlf1G44BCU7RoN8Oxoj9q2E9jo31Xibl82DpCTsF/oeeFZHp
J9ZdwR8w2uWWidJtb08H5sMXlo9ewBjNi8aDd0Ef4LuDp2LnWulVns8XnBoRz9RInbOUT4iP9ZEg
lmhT9LJA1+cYYd5xoRHDIodFsVwqNzvXenlUoo1YteeH0nTDWVfTtkpUH0Z1+lyNU7Ar7Jk8jeVi
tGN4GolKAZh7T+ls/uq3zk0wpcwzsGZquz8u7qCOMOsfltY9AslAE62cY4wKDdowopW8H9mZhuVC
1jrZTSRgkCViOefA40mYl55BsV06m6YzH6vYegkcpqTYlsk1xQFqeeNDq4YHMRffS3i8W1MSgo0P
9sGJrIRMnb7Zw6yFFSMNyjQrhSm33nerktdU3U+MrrI9IZlg8oS379ef43Nukhk55OTIp9RT+ihn
Hke2iOvGNpovJL0EWw9gRaiMaPzgSB67Yo6jLWJ0d6tpPB1bT4/nFp/ZqSPkZZ3xkvKb6GKHXK4k
prjRezMBvw6ButvaRuG89Fb3RY9KXlp+3nDemOsVzAOOp8lCxvNO6OXL9Bx5NdNh7Oe09zLRVo9Y
SB/L2eB0sIguSDG+Aq9OomtSob+Q0z1u87nYzZThxHinYYMUaNcyN7aYxkoq5XRW8dmvUdRIr70u
jOS2qgndglT7WBtAFjpkmASLuM9zpdVLVdlEQYNb3hUSD4MHDbFZArkv03IIbV1Ht1bPUCWuePyX
zH6prbrZdG2JoWAE1D3b1h5kCN8bYdubgYwjEgeoQ2Y66TfC9IbDDDtjAxbnyTMkWdHtdIpG9R00
xoWQ+fnNpvMn3fA/qHDWGNWATjSvvkcfcP3vb/QVaSbFAAi/Pgow4qjn2341/l2nbgt+15J/0f9m
5/lRs8LVAjY0BmO4tfzXuu/N1TgEDpXUOK5iXnXkD/nZxr+NhIMF/eef6w/qGH+tUH2Pi5kg4V93
rzdXmjxvdjK4c0eb+TiNK0JeWI4za0LHQkuoPvFv5v7n1/zR/rJyv7gmYkCoXSj/+OeP9zJ2Kuz5
JLNwLnMTpKHjQz3zYhuOOE6GW8DPYNkvEF53rG4/v7Tzh7nCeu0AC6lHIW79wcWMZXbCYe1Xx65U
DuPT0r/VdM/X5eICCm9+NIP5ZepmusITEbDZ2PHeEv+JMEG/JPCzYxRBA+5TzO3uMQhKVHPEINv+
dDEBvsPwQvFGS2rT1tkVpIZ96Y53mM8fTTchIn6GseUXxnau6+DggqL4HLsoWoTP8vDzT/onjxAq
RWxOFj10xJfrseTNF2sXaVDWtsAQZHd7UZu3ABBuAZ62f3FH1xjh988qFyJnGJAZeq73+rRgskDX
++uzGhTiRCl1q60UMyHNCQ7TQRZ2PvyB2Co/wDG49Xqz/IDYmqDGJf7ejqzL61EFNmEORHK+iA3G
AsE0PBiBvHbUeEh8lnu3SbHYxglu+tmGq+za+lBid9/NqSZD0FTdXZXPj7Ni2x/sVJzxOZXIsntS
P6r0e5RiXanygm9x9uvDbGTfo3pZWTn7pafSmBvnmGj3mCRVuo0B2myQsFwg2i+29rDcepq2PL0+
oBu+8UW52Ew8GGd/cSP/ZIVBP7vGqJvwgsk++PELWzyjboXhVEcYBa/HiZmVzW1sCE2T8xd6sbUv
9IPGj7fANdmnEFN7jPjW//7m4VC2BmYjdHV08/FOdOm5hLr68+fvlQfw7hoeU0OBOhKFHQHPP14j
TeAKFaaJazQYG2i2M4jTaHlZV3rU7frQ04jPbXH8f/bObL1tI+vat/LfAPIUgMJ0SnCmSEmULMs+
wSMPwTwW5qv/XtBOt+PO0PmPOweddGKRIghU7dp7rXd5mnEZAi/aAJY8amPwXiXJJxf/Ji3lvkGb
lZh70pTYZD1Wp2rKzzR8fgUtRcRjAME/M20A8AjzacTP6i6L7Q3etncuDZaVjfb8IKd48jOLugUB
XevTXqq2RoNGhoR7Y0eEDKYPI/7VKrgF6zg992N6TC1w8TSiKVB1jrCWXvkFZ3G/F+21LIxogyPv
G1TyT73/8g+eWL4LD5QQ67CUP1vfC6Nqx3LKi72ecVDoozz2Y5LnVoaW8pmZOKyYLiSYw9xLzpiM
kJqGbF09v4d69uISDLChTUOYQTAPq9bWS1pk4hXkhrl2BWdqQmUvQedgwAmsS0RnEOgeK1EFunPN
/OxFGMPnWYlV7MRPo0l16NV84EYbd2kkXiYKsVUVRNXOzAYGv8M1tOxlJMf9idQuAEPWDwDuyfrJ
g8zbGdb84lVN/026/6cX6Q8eEvaM5a9FpGr8PJQewhpX5NAX+8Et1pQ448oZ+HUkHb6gCv/mG9H1
n3EM7FQuuzDLmq4T7vTzM1lLc6IN1BWoVEET6gDU1m6QHAN2Kk/n+8FbTJDHxAGJDLp2lSRUgGF2
hnc00/WHXFMWXuUzlKjJvJjzVZyhSy8m9xMiljutd+8zDxsY5JlkNRaliXJOfc6T+TpmNF2dZTPm
NgvN9C0YlioVSnAyizNcwHUyloZPuboB2eJuW77S2/GS5ApzHVv8Qa8hyVpr+Ylq6LdV0LWrDHXU
YQTHdjsEBcWID6RNCUnthue45SDp0vn155qjnjUPz00bktsrSfk1e6Ym+kOtxUfTpFrTSVSIl4bz
8g9azr8J+uWGrDry/ySMu+UxUqNFjtDwbIPSX2VWqvE8VQRl11RLoH3PY40i0qn40w19ozqxeMTa
oL7zrPFz05LE1HGBsYGcoSrkvjdSistMviZRfwVZyeC/REqKBVzrmdESiwVqlwe4bbMjh2ICmNhZ
ILZxY/J02EN7Zq7zMSIw75jq1gWA4BoFz+QvByOG7vFuQL54wqZwAdL7amCy/Jv92P6Dx5taB6gZ
cWHcUT/bBjBbJTVAl3yvnOkzvsErY9EL9QUXz+KxXuqv21G7XLDOLTJ2ZMk880WEin1Q6JwSfoyG
1jpti2TjYaV1+8Z01lkb1j5q6mLjjd20z3QFuChOse2FDGNRu4afa+Tc56rxovUcsi+2c+Rht8uo
8h0mBRprTNJOL71JuSUas/JtEXf+GJITmblU1iEHQ/bDyMQFiBRgCanontueFRSn7bXBQ4wHMDv3
XXeVFnq/MoNQwbAPHfGAfDoanhlVuzhttRnx3/TZVnO1bYjWczgd4CW2Lz2bCIfM7tkEerpU863z
2/76v1nY38zCiLnVqfr/fBb2VHZ/aKr//oPfO2yY6mlg6ba1lA6WtJc673uH7Waq52Rk0ruWjvEj
10LinEcshVUGxfHPzh9EghymbPAyN8PQP2mz3XRhP5Y0wlssRosGnuQ77PtLPsOPJQ3wFFaPoNZO
TMz7R/gX+WaWjXXIszndOKi312LujauZ2UyLS6Q5ej95B1d34bKn5fA8kfJzMhX0B71uXe5K0Vsr
3OeFX5R6AkG2iDZpG15DakVJDwKu1SLVkcXL0KUPgyEBwQ2h62spz4VuM14hIYS1M0durmRKPkkt
M+MJ2TeHjcoAIsGydpFDr56h0keYS4GDT12TfREaiUqu+Y7jyK9m1dYrQhceJ29qr0lpW7t6sGSx
MpMuv8bIG464uVEFOxH7z0jk7a43Z2YGGbG2E1EIhzwcCYRBLXSUDIW2rYLBmRC9YIOjFwISo2aM
wLCmYN2PYwXvbqw5aU6CENlZNGKDKirwK6u27kTj7iHbXyuhO8iePP2cp7DkgjFnN0KeE7rIbtMo
nVZ17QbbVlRQaj36A26hN6j3UzqIQ+2HKVRHvqwcYa7EwWRpDqlaie0DPgI0Lp1qO4IcwohYwD1l
8oYCCqLrU20V9XqYohdvIhSdtqV9GKXTfyj0knhdVCxrgbgkuFTNRPhsVkZxw1xTi3Rx6ovAnJ+K
xkyRR8dD6Wqf02zUKYqQZ2kz0yGVoBcqSjX7wiolOi0yx9F7WsCHa7NwL17ogXEfaFaNqwYNBxsM
k9Q96z0ZxqjK2Wt06dyPOQIngHuiJUZLyzEtuLMye1pPsXXnpA34c50Aw42WznQR8LJDGEs6mV60
KTYrjb10hHoO5Pjmeiy/myDTb55IXmhxSFbf/JJOULQ27snFSdnMN1elpyB7YrJs2hLo3SOCqnxX
1KXrQCx05r4ftkjOBGhYAL5Ne/XgVpJyOohOiScN7hI+TQJys9zDRc+M1dgKzg9LVGr6LTl1iIuJ
HFXsr4SqAv7S35P7MD4Ot9DV6RbACp6CMNZ0yWUl8gsdhtYp2nLxRHJrdAtxRTKBdq61yXYln4CY
18Krv1hzWJNFVBvBtcgi0qrxEGLdBVIdvQQQ0oiMTSZD93PSiO7nfrD7Ld1TAmY7uLoFDv+iYMRM
Am2JdWITs62FPn7rCZFPhH3cXHJr01uELS4W82MdkWubLQm39ZJ1ay+pt21fsfHdonD5BQhVEsra
5AjfNuOSmRtPZHPZqile8JATqevUS7yuvEXt6h6pu8aSvxstSbxu5RDKS9yig6d2yeolggRYrVgS
fNtbmC+nFYJ99R7DRSRUe+2W3F/EJeHOQcUSwbO79zDOPAe3nOBbZHC9pAffVvn/bYh/tyHi1vvL
DfH9V9X+vz9E2X/7yd9mTg7eVfqedJfZeijp/r0jusYvNnZUV7IZLamyzJD+NXUSv+AZ1VG1MkYx
SZI3/jV1Mp1f6IfZi1UNCs2St/hPtkTb/Y+K01yEJkTdoA2R/JY/99kmCco5CSO6yk53Kt0CLSGn
THUyp1yuM7lAy9PO1K+INwB8hwCZ4jFe82AP+zRqNBisHBi3DekzT6gYNQ4CmfcSu222gxTFY3UD
Z0K+rZf5OjjNcSFrMotxmm2XdMEClZSDvfJg5RNfk1r2uvdwZVgLp7MO5LFw0w5h6xQ2pHe44Tu9
UDBUegtGhWcnr8zrX/QbAFSSyPxu5uHx+UgQqXtNrNsFGRou8ND2xhEdF6RoG2jQRWctYNw+1fEd
P6JX2DMdQKSl9hgHVaLWEZGm+wZc7nkepmI1KiCm84IzTUzAppijzC2u9egBuR+Na29ePjnQCrUx
cjtmXQORSo+YBkVEaMZTGFlgUkxgqoniPzsCwKqnx+9KKLTLntifXTltXcI/fK1GmhCixENyEMv2
KQUh/UA6q/kY3GiuqO4guxK7wZk6c7V57XVEKpKFKDdGBQ7WBve75ndO16aCZCtLL6c7APMlGM33
XZpWex22rLNAZvUuugdC0bd02snfWzssNkyrBrniQDBLHEfNcjYqbLYoe25XQd7uvWGBAShcMKsq
nvWN1hsQa5LJBE6ryHDyBqu7m11j3ybiQ7xAc7sFn4uV5iUoJnFEvPlugsLje5QPHxeI2FEHELIi
8iXCdci4ioY/k/kwvCpZmAWYTkgSbpIzS7jRfD2iiZwVgSc2TkFlP6SmFiC2YJMPmsB4hHOUbKzQ
prKZq6/tjRlMsoq9Ceo4fJgB9x5HD2diYps+refxDh8nR08dejAUpOBRN9tXAg8L2PlOeohuzOLh
xi8ebyxjCETqoxjq7tc46fVHSM3WafGPP6X2EmFsFR3QUlXbfktyVLsaqrw5dws9mby6i8awB+uV
+CqLHMPkUAI3omI59At8OQNWcj9ljq7WeTO5H8iN6J5nrSM6qg+yjV3j3vTnG9FZ3OjOgc1ORijW
MHyE6F+KtT51MbZsrQZ7kyYNQiy+5Y3ltIyQOUwKuGnApNMFK13VngMyguytxx7q9GDpH2blfRBN
t2pAHZJIIXKkvnZceb7EJtbsaHKDJQ5hWeOIew6D6qswugDF5kK8xgUj9lbW062IMnSnBaRwRni2
QcOXtYNXQKtuquiioG7gTR0Oo17k+GltGY1+F6rBOKsbfdsNmB/hPKo+5Dc6d7OAuhuhtsmC7u4X
iHez4LyRXgP27kF8d7C+QelGh/TG/zbQbOf7LtApUdjdkxPakYSsZEW4wgoNsHVWkEU2jllGhygP
9E1dtSQ0OZq21ivbfS+bfLJW7XyC2abtw1ZFu9SF9xrYhra1gol0BDEN20ImMYDhLH0dLXNa50k9
nNzY2UqKVnpgkw4SlpJ+lTaJ9YhyLYVWlxJIQHa07/bY/5I6x/qUmpQ0UCR3iIvpHOp5eB56a+AK
JAvPJBPWwSJm4TyKVnsZQtjVGa1sQkfzjNhnmheluxk1M98m1cmexleGswjwG2UcxjmYNxZ/6pRZ
ojzrmYlW3JLaSJlNESWwgFmmc0htkq4Qj9ePpteYz/S3kGgD4llHFq0F9DXztAvgjYLwydL0w5xQ
xMvRGU6W1DHNNz3RHm7CNK6LGPM7XrNFPqmvxrm/ZHM4/cpAGXBK7zjEeIWI5py4YigXqM8ysOu1
7UReuorsRe2LQe8Q5FNGxmHQ3MVZ93HpRCJJzPp9MdcDT2mA9pZ8t2HA35vH7WejYLfZONJRdzLn
4NKH+lOIUHNvajlsPrHoBQo32WUOod44n/eqIrYXwaaL8I4RuF5oQI6aQhzEhPMt8NLoYA8wn7Cq
iZPdYoNAJ+JuVSUMRL66B8LQiWGwZ9fAnunwq9DZDZWHfjdYlBHx1JUQyl2A9xVrL0qGbO2ZRn2o
6QTSgA7Tei1G86HRS18rR2PyLR7Rc1SF8SUWo+unGd0vJvTe2qJKPmLkD5Bj16cxz2uATaP6AkF+
ZPxQDZsEMf5da+JCnTsZHZrZ+0SXJT+EVvOl9tAWdunwKc8hUwl9Qlrfsd3oTXRwGxXuu4HMgjxw
Lz0OdizP5sXM4Y+5XW89Ij7It42mLuGUXDuhtMchSh6YXrtHRv8GT2N2CZ183o526rE1ksWOybFX
NpQxuMoy9cijtXpIRjhTpncyhYY0dFzXa41Cy8Ys0U7deVIiLFE9zpz7jJsoqxXmhEJL3uRaduHO
YhMFXjU/5bHwtNfhJvKKHced6V4ykRHfdGBjqmdwtbAP6NO+suIn62aFmG+2CJVm8tID5OK2Iipg
RQWOcFxgiPg63ZwVHHXqe4NUugjTSDO/N6tufJ+XYjw6izujW3wa9aQNWDZyB9UHWYf9Ef/mwNKf
FVwDgLH7afF76Dkrpptq9tu0uEFQESVHuB+dSWYFbhF37hihiFytmbVumLgMKBkWd4nRaTvVIjdV
k1tvOT4y0r4ZUvKC5TWtTS4Qk69xSwRX+MIhvKIVj/CuqVK6eF5Onzm+mV4Eqghs5h3DCHY3Gvwl
CI1TU3V5tGmNpgJuZ0wdrlR2LrG1FHsbIbSRm/jK6chBSQlomZRehOvZVX13uLHJsyjVAAQsfh0R
CLqAdMK9ex3uXOuX7VzHWyLuUNe43tysYbmhz1yMQIDAUAQg60se3aipr4mHaRmE1xT7JYqqnYqD
cdu4wt7PN59RnYL0Q5zSOPBtFytSRnt/HSz2pPzmVEIcMr0iOICdpqyd2SLvhFm32JtAkWOISeMA
iSnuJ6h7GKE0cIkbc9Tonkw29m8qoDrzc2RhBzS24n2w+KrCCrUmWszFblXdrFcqbYUf01l+ZfGe
NyYXCTWT/kk6KZgixxL5im8Uq0CWwn9G3wS1bGi7ZFo1nWX4LfOkypd2hCCjVrD97TTqNgywz5U1
VGSj4SMbFkeZfTOXFaZrPaqb5UxZRbaTzII32DbMo3szp2WFnL7gmAJ/Rc39joO4cwpkhKGNs7Jz
p2hn2esg1EPvjKTG9I3JeW0XgwDx2uThhpgGssU+YIyWODDPm+mp0ET5YFayH3zA7xCMTYd1AJrd
OcO9/9UgQtaHHqK/sZ7Gx3jQdPiR0n7te0Q9cPFyB35UHUNUawUwtRCfK/yU1rwiKzc3lj0Uq3Jy
0g155N4OkHy3sca+P81OP1wwwA5XRYcDuOoAEx7q3Krk9P421bQHkDKVcqvHJVGJlV4hKmFagt54
JIUuaGvmVsDsjF44Xwy4LndkNs0XF+3LU4XdzvJZzxMkU7p69gqRvYa6wEsGVcxDekQqLqNMccRA
WW8d7teTqEP70ZzbwR9ERcQyANeNNlsaUwtZbSZE1NT+wt5Y2FN8zCxRytKcF9sBU+EuybTiMAqS
FSovG55L4l+2mmg2bVWjFA8bYhMXsn7iwNhnkegZyhCzUDq9QcHCymcS4uVjC6w26ULqn27Q/nTh
95cLyT+9Mf1japQsFzUFFMT/6Ab/d245AEsiQN/i06I9EoGvXBIDcLoRHjAsOQL/O///N5JTExAB
R+U/b4g/Yw75qtTXrz/qTb//1Pezv6tzwOdcLb83tb93wj3xCz1J2K6LaQSJy2IY+a42JacOnanA
o2Eg6VkAWf8+98tfaJBDbUFgtNDWGZX/A8UpQK6fp/sG+HqdoSeqDHjPPysyHFK2tGiwioPGk61T
fzoBHgbyS4aBRNVcgIDV6UsMd60BwiRXNYM8NZo7gDHOvs5lzEQqUPnGQAdFVS/t5zEV6caORbEO
Q9Zof2hI7+Yg9kq/sq6xD1jmG5WBfjAqkfmdZw1+HYVs3IHzpSuq9tCbKtxhbAzXAGFr8lTSCNpm
2+2mXggAG6YsV7M3qq0VYTfLaAzQGCVOXVa1+1ZgwT90NEa3Ira3UKmctQDM4fdJHN7rTeDuiynO
ng2cXuSnKomiH612+RrpXb0zsB0eVZ8x/OKAY38iXr6KVmOOfHaVc+IjGmVq36VJ696NDFev3dCA
r8mcx77TvbNI4Jm6eRh+zCIV0QBJexJOO1I2YrRnQSKaXUMndj/EkhXUnB7LqnQODUbXra3RCZ+7
Xr8vHO8YwoWxyjF9gBaCEyIgyRfJprvBnlyuurS2njibgQGspfDRy8s7LxnVoVOztg+0WT/KNNKO
6AJYWIx6ZolJ5iWypjzXNqiPTe1qRDcN6GaILaNbgPH9LgROsAMcmG+N2rR4VTU/wsZRZyfWAho/
xrM95uPnCXn7Rg3YlgMnVY9zSorqMNn0OLpyXGvVOF1lnDifumD0q2L6KPJY7XBMJ/uOFKsdw5/g
pXfjcksD1P5CVk86oZowknOI6YMBYjVGOGc4p7rLesn24u4pT5ptbRsYTwReIVgSbDe0lWgFNVS6
TTH8Gg6Tt50XBKpfBzmxgEyfHiWDUDCSSfUuwprwzkUu8Qa3QtDWmi1xJjq4P7naQjvMBV9y7BGf
VIUwRSAScuqZU6pcYRf3pt4TVjPo76JRQ9aA8KwmyqdMH8ey1o7EffT3BvEDJ1kDKEFoLZPGj3Ut
d/adxkFg24AF5qxI4z71524cjiS8b5PCIOx9HpdUY1m5vqHjWuU8ZpDS1FGIFbNnUazIToDzMQC3
mgMDqXVSh85aISZYjcacP+Dg3Hs4M1agp+pzYxtv5S0wpL6Fh1R69t6OG2dJROToRk/uoOJb3kgG
4jUlqoUejveZg0eNvjwgpWRe8kpUx7n5Myo2YkwkgSaF23bvrGo5rWBib7oNgNJnemyMlZtO34RZ
4R2HkriylReobFpXkV1dKyquZFjKk3BfUTQ17wySs9JxDXiuaKM1APjSORbKcpW2zi0io5k62Fz3
vCccOrCTpQICmycIh62puQXkyktN5pPznjmDUTcbZU36Y8EoKfiSBChdrXj2VqxwdMSlhqKsK5+4
cy2CdyArIzahWUbPsc8IyhCtl3wiB2rS9m7R4wa2Suhiq9LtOrhBXUPNFIxRJ89DmHsv+VSRKAHg
gTtFYKMF2dmKflVQqzzgV5df6Dm06Y4Dd1/tUX85tKq0mNNsqweBtwEUxFvOWdgQLDQS9mDSosn9
VGXoOMRQxTvWPt4Rls4SGekpmKQ5aYAmc3mvKO8dDDSlvcR+RmZ7go9vCfJqe5S6zuiEYPgL+35c
2h+WHPi/BGwlq8biGvu2HkzP2eAaJ+Z2Sz1RNrWgceQN6HtN+1x4sj6kMUW4HK1gIX3JFgmb6ew6
3Yh2hdO7uzJq0ofCyO7mEMvEqtGt8m6MrOgUVJWDD7aVpJ5J1+Gh6mPQzV3R6eRw28bRdUg40wqy
QnG3s34B7to0YWlqWxD44olmEaYxAx8VIXHUW7ZWFGjfu/Lq9g4jfbvuP+DKNaaVYXqnyXRJ5Ksb
fZ2OMkQN1s6QYOYOYHMOtvBzPdWf2KOaC2IKOgVOQCAk/ucF9lOLp3DWgy1kI/cdiBv1KKUWsDkU
2SELHXVftq5GeUxLsi9E8HlmZI3KU18rB1k/S2ewz3mp19Qh50rlnvuh1+uxXLWBUe0Tqx5PzuzM
ZxRa7iqsR+wXw5R8jHB7Hi1y/C4yHLetVki0+gITXmtGOrOq3pSbZArmBzSPySbCN6AItX9HRE17
mOy+2+lNAcW8z8nSQl87+LPSen9gUHlPJC4KkGY03FNsLkAfw8Q0DhZ9heBpfBo9aa0MWrurEOzz
QzWF8HmxhWxk4mEB4wNsK4Xtgew2GbE0zvLVNGsym3oQZ28kGrRnZp361x7/wtZqZ3OT6oG+t1Vt
vtdG3o8M+3DNGTLcJnFFx69os0tKI/Sl4zk8d03bPCzkzTtkxAVB04RHkBcf7xgU9xe63PT5UZjv
s7n/WLsyvptkFL0Pyk5cArINeRFlUwmQxw7HGc5VmZviokYYXn7Mk/9gJc64w2fbvKEixYkKfM9E
x/+I/HfMVzJ37UPuKe+RaHMMDMyuPw0AHlbVmItNCvjqwOH5PXIfDvBFLigeaIhj9zbx1qQNgEhd
eyWyV2wkWdxnK44F7m3FVJPdv17TYKvWEocHCiw85kRLtO66U6FSK+mMG0/D2q760WaUjKbYnzG/
xQuFHh1hjtwHKVMKOIlXI+dyNpcs34aee4ni9M0YXWoKGREJ44iElaDB/463o7enyHkCcuaGbHlh
HofRs7KnKn78X33/X9X3Ekv2X9X379q36Hel/bcf+F7aEy79i7AEri1h3+Z6CFd/E7ro8hdho5O3
kLx4EAgQmfxgJiMUUr8ZzL67yJjnCf4yFzUKoCFCX/5JXc8p4HeiXaKoka7TgoE5uwwHzZ/GeWVd
xlE5QdXwilmbU98dqmnawgBhQ8uleUjHkXTePiRqWllSfdGnKd6NVDAPU100+6YmqBUmBfK/joik
PNbHazRN1gN0UUUJVWIhDVy8DQgCCDoFO0iqKWKGaSxqSvoek927KBiBy+6hlWMBCQdYFiuRBdq9
l8s+P6I6aBTiAV0vXZQrzhR3+wEp/tgfQgdDbHAIHLTXOHXcun9ioCXIhSmoM/AqgX3cgMwEt861
lOa9m1JuQhsEU0Irx+YxMXjmQ5jsKM5ySaAmYTCXIM+jXe0Y85KebGPVzI3oeW5LE7QkAlgidLVP
dOXjZ2Jemtqv8iihxrMu7djUh9mKw21UBt2bpwvCjlVO5RsvB3ibst/3SvLjaI2Ps2MUxySEvI2U
YE4HmBTDIPr6RLZMXugLpn68RGHaawdQ9MO0TtE/TE8EiXWzWIswTcJtICs6hTuaoVEHClGUbb3X
RRjoyzqU9rTIrnYm4uZcEaLB6WdFdiry5/9xxP478LV9QyP8+Yn/faw+l2Dsit8tC99+6rcTv/0L
CwJ2Cgtt/vfkmN9O/cYvLso4Tt1oAFAq/pDrJFkCSIxBOMd/MZZgp3+d+qXxCw+0Q3Q8UXckvv2z
U//y8P9bbY+zFOSrRWODKo/Am/9YHAxdRCnAI/vEJJNnPYcIbek89fM0sSi07KVvPyyZD99e+kcK
9h+9IfIH4ZEmJWAGL6vVDxaClE9dGVVunUzKpLXeD/EOSzVk5sylsUWv+Vso2Z8qv38vZvj2AR1p
c708z4TF8ZM9wktshphgkk5OGdlviccbmEsOiLL6v2M7o9v4+VryVfNdY70RixT/9x8NxlAUdqku
T2k+WG+xk0BzbWdKfpsA9Es7z96Lkyb6pQlw4//1Vf2DT/lNY8nuQ9zXz5KNoaZXKLRGnpRBjDSM
N44oDJ6XQ1RIatxfv5n+e3n77ZpyB6KXZGyHC/q24/zwHY5E1zD4iOVpKG3eCDE2p6AhEbhz+tah
tV6YSRUdafKQcT41Ua9ecfln0RrYkOYLRnT/iAq9/EKoX1wbIDDMFQjhyzfzwy+EgivosjCQJ3dg
jA4+Ati10FL+5//vvdixoQJyC3Pj/HRDhYg9MvY/iehz0C+d1NQXpunjtUuMv6O2/37n/vaxllah
ZTkUtLixfv+xMJU2GoBTeeqD6FdlIIjrDIxjf/1t/uetYwsWIdwR/J1V6qe7FoiChMyUyRP4qPKU
uD0EhpviXp9T+A1//Wb6cnV+v97YggAr3aAY4RL+3GMkJEbvZ003T4mB1nyNNLE8QdYk7+0Wyu7W
qfUm7YmHFFz7dSKB5oAY3/y2of3povAHdzBpeix7YnlUJSr331/ZAIcIYRqpPI2IT49mWqDVqQPP
vas0xR1ae2SHpqnBQX2asfKsbw+vxYBhxwrS7P/6ovzRNwCPx5Ocx2gO/+ylTMnbGvOUOCQF7PhK
ZTishqLDgob0fvPP38pGPkZlydbyHzGZY+U2ZePU5im2uLyetxjqtGyp/1xMKn/jg/n9Us/yvdAT
hAPAwODt/uP2raKWHlRdacdgEhxmNOhhHwozqz7MA2aSHsaz+zf38iJQ/+H2Wt4SMKcj4E5yN2O/
+anWrdIZPD1Ah6Ng+L6TbqGhom4UVdKgjddYUfgxwZvHB0acxnMc8kjlI24/0oQArtOErIHGsf3d
VhBkxksszmzE8yqI6Kai4QJB/jffyK3+/vcjYbHx06fG4IF4zySP7mfTLlVgIkdGtkeViXxLotW8
LWObLBldpR2NpnwaQz8j370M/DKpJnuj82KPDVG++WZKMn5H8q35IgNAPl9mEhK+jJxg0c9FM8+V
gYsjWosm0fuVpQ/0lxgOyrc6cscrBusGOi8/1nB6ODgk2Te0hw0Qv0ZSf2gRWp3cUJrHJuEC4plO
pgcOrVqzsenfvmAI0SBBeUGt73Vl8dLKiYAi515kp37WxIG5CrvYtHdZUfMeLlfaVtH0gNCb9r0E
Ghit0CcxLYgIxCFgTq8+TMzWQEAFWL6PQ2WWJ9WGebOeGr2Ijsyj2y9pktUf4EwY1RGyy3QFmgUn
2Wi1fjVj1I0/6pPHV+bMBMmkqwEc0wtoNe69NrXfUk73yAFRob1Nuqe+MOhYdui+t97yKTU+V3Ng
7AmPqq+NDXbIGojecuIQbTfrL9L+wbPYYVBPQHdGCniSy2kd0I7mm6PkigZx8DJJI94Fpqm+NIq2
gFYa+jNcZa6PB03zqlQ4vxg9+ObKk3xPt6OYPjbqS4o5dSHukzc7qwA2lEtj+6WrJv4UTUrz4AUF
r5Ink85xhetGV5hI4dsuV7BT088BbocmM2qSfQhUEjy743Bny8iW0ypH9eYco6Uw0WiePIR17t2J
xBivaTnhvQHppdlrxs76pY5r7hp0UtabY6dcTdR9FYKH0p0K3IyBYx+rZb3UeqdWOyV7KPpQ9/hl
yBogRKxp2RftMuL5K0U4hZt8dvVLpOUZX6WVt+Q+lS70ZoemT/W946kX+NhgomreixI0cne0m4np
0szxodIX6GGL/m7cThn7MnEDaGv9ihbqeSa8KPT1OLfe+rK23uyo8ww0ig0sK1rDzVNozsZ+ngc6
5kZoy49F3xfP7hxP56xGjlODl9dXiZbpLsNm0RzjrOToCSiRV8nGkTPiXHZroQL7GX95DDHDXpit
DjL/iyuQBeUygkGQpx4JcJZCRIeAlaz6eXpOsXURWB9V8BfF0gLingT0ypj+sa2UC9gl6PKvpdW0
v7pypv9sON0FH3oHIH5MOMt2KSuTP0MOI4sMoi8palP1SixAo7Y0vu3PnDPpUKJkvyuVaMItKdUO
Te6uitdo6otdX3blxUOYCFtjVtHH0CSCkOYiejnG57u6mIKTDmSw3rlqsD/gmF7iT6r5Iwf18kjY
UjitxkHOH0kgT5l+G7OvEDFBcw0swA/pUHxM0KO266KPFODyxtktxSiajbFW5JU1ubapqQGXCNd8
S/MLJAlIclRUIrh26FUORVpXh6SJ1HayuulrEJbDJtJiDfNKmb/GaS+JHCNirSpiHGe1ildMEd7w
vfB8xLO2Dow88ru+0bc5g/ukcbXLElrA8m8G4PSZr6E7sZ3MLOGALSJHa9Wg5grL5ZuvhjsqXVI+
TH2y1kWMG1UG+INR0nrBWnbIoF3S0/0M1d96LifEmnnZvatSu678vlDbbvF1F5H4nDmqfPWy2GCA
pAOT1QjE6zJ+Dy9o80d2JSgrM8v7nS3rYVWFgm/UCY3krnS84kG0XfWAzZObWrOpyN6moNUvmpHw
SCg4ogQ3Vq2RnICELNoVk5wtNDqshmFDoK1fzp7+TN4ltywzTu+lcRh8btwOmccGwvsIDqOsRb9C
rJHNvmFp5YdAl+MDBHrNdyYyylvEli7ySCsA2mXIEghotryaPlZqh2OUJYjVmMJsaQVpI+copRJK
OBup9HNfSR79LrLqvRxlMu4tPa0+VBW37aJyWATj5Ix9MMjipJ6LmMLocN7LJUJFVflHlEFu9etU
9ZKmqdMic3BatSkSOXzNXcIafWyg1nvPDrxDE3lqT+4DM7JiDGM0snoSfVJ9+5ZUFnITCfDLDyaW
j9ds1jrtKZ4r+jquESFsaxKaNBlGmmgY6n1CxPcWpgPNdi/MnRXxq8M7VOT51Q6rX41sfoUZot+T
d9EyeszgJBkeQy/ZVcaXsI3CL3McD09h5/DN8cSTVkdoH8C+0Bkw9kbx4mjKlHO0rRgD8DhkGJuU
zTrup3SKh33rjYJZYTmdwSiaV3seY23V5ClzE5tvgcQI+gkvWoFxZ0OTOTuPTSPv53jO7mtddtc8
dmu/KXWEk72WbZBemZ9g8PSn1q4Q4liBEdsr4opjH1V+hN5uHrwVGSwsF7Dt1knuyuM09J+CShue
hjZMH/WuE+cG8d7HdLAhFzZZhNY3IT90VU9mePHwxJ8b1K1HzRug/UR9qN6MeKhwHaMQ/j/2zq1J
UWSJ41+lY941uAo8zEac1mn73jM7t519MRhlAEVALoJ++vMrUVds295deOg4cYx+ajSrKqnKyus/
Q1/P7yjaI0ysZQBlDGVE3hVt6gh8l7KiANys4cq78oJQ/dKbxTGFuBRYxb43updW+fpT5kkR6Htu
8SMPsgVZimmq+belX5Z6nxBAp3dpjgpz9tgrCZcNLS9Pr7FyO/dTujV/xQ1GB84OvS2BAOgY0gx/
o1k8Ftzwv+TlIn3I43g5LLkI78JpOg8GseWNyDeWMS88hNsQ+A3Z78doFp2+uzSWn1xlSR5ZOB2B
mkwqQPJjVmZgQQAdfA/0LmKUvH+KWBcxOLUDIr/5iChCpDxkxmqt07h1IZsfzMDQEIhy4UQKQB9X
FtBKV27sajeatqDbQdBbX6e54f+ezuXFV/CY0m9mQEfaZYmrdj0l1WkGHiQtZD1PpNBODYq9C8Mn
FWLtTWiLwT2USSDwjDpAMQO2CY7Gco2dQvGRkfR1IgpPwNyXX6Wk6BDFyMgN9dWFemV21MSgT16o
Xy1Sg8SLSPGtdJizd3+NAq/8HptqNi50MjHAw6BRoQSSYNpPKYcGSi8KjASsXVoDrUXC3yDx1iu6
ImbxL90r3Y/pdE4x4NpPs1u1KL2IphcU4RH7AQldM5KEmGeYPHWCYvpBkXqjbGC5ItdhvSrLS8mL
gGzScy0zQc6SVtTUGcs/wBaK8r7hrqdPEtkhEmX7YfAUWgHNjsn96nzyOipvLcCBpOHELYIy/1Z6
i3K0hZj/f/XTq9VPeMkOTJuBndkXlRf10Z477999XwGNGbp1T+jmN/sACVEQHeO/hz8UV4OoYNoH
SGQekcak7st9d/ERnR6AkkLBk4YXT8KF95cjVOri0wP2BE8ptU/ESf5JmKTua8EVSexGxgjXZaBH
cLAKI/3AhTTKC9nXR4viMZ9P3DQYeMHPA26ccHyKQuIDM+/ZAEemaVKqwTwuGcCcIjhNSlYt218+
+lbfm0/OD7VxDNXGwrGCd0WhcZmla/qxR2FFx59AR01+mOoBtjeqaYfK6N6KkiqFnKE/02npmmNi
GGYmDaWYZs3rfgTUiR/eEpZauPMJUSOT+k+XNHLJMoZ02ZaGXJW546Pw+vP7PNHSjnYncdPcBKk1
HSXESmia09M60ejLapFd4eDRb1MSpj9Oqb8BWJyYcEhWARh1l6aagOClLHsA4l0WS9XKQB+eL7zZ
54WluMsEILoQ23PAJMhq9sE1TS/DXLlNMNa+rsogvwtGi5ywKqGW4oqgfKDO7wzKbgd62SMHVAau
9E96I/XASSdQeomTJ+nT7IMAkdYx4vXdNLO8zudComVp+EFduqC7xqJ/TVaOhgaGazrcvJH/Gamx
XYg41B82sdJPuZOsfndS7tk9tLR4+jHyw+xL9O++tMtOPE1oK00qOTSO8jATM3D9qBZd4XQeHIY9
pc18z1EI7AzUmwmCSrW6uoQVCqyACLMSaH13EdDFfvu4YxHHlcmrFA65zaca8IBFLzHh/Poqbp7/
Tm0F9gSBOuCSTPxxdihXAQMBG60WltpM6TkTjkgcMMHoKqAx0MOGPjfig4//kAkUvHQxSUTn1Qo3
pxrwDTEB363Gm2vEBWJprFGlGogb5AQXDNJ1uRdAnauuvje0fPAvuEEarZ62RGT56joO8JOrB/+t
i3tSHIXNSG9o9TLJmagPjZavmF1ddP4lDnBy+RRji3Q1oknbL7w5LqhAraCnNOKCSmtmAgJEmlGk
xOdIECANVRVnLpUJlTREAWPAt7QXKCStJlXFf87cCS+KQ00CBxq8G6Lg1SoRd4fi0LQAdjZ7quik
W33eGhfwT/V4dY32AuLQUi1yAdStQDi6GQ29i+YODhWwAJtPJYHe0F7gBWmNuWB0NRD9yLyilZn4
IPsP9wKQp10CLOw66jG2J+bvnoi/waq9utX3/GCyUbR8Jz2lj730hZ2K8fz5Vr24mbx/J/So2heF
3lWN7eyz5X6rHZjNoT94uBMCm3G2P98u8PnQtbF2q9r989p3EpsWmavNg9V2mpVd+Z/A/mnP7UP9
B7azM/+ayft3tXkenIJXCKezI7oimt+YLm31orBOmMhuG4Rndpja6Y6SeI0URrLfm065bweAhydH
TW0qNbMx7SiIEntS67dYKS/NKVNvNc78cV7TjqmT5TpoSnzgBHZhJ86OkmA2gPwtMHun0V9Evy6w
qvP5T7+2WYCobGEX0lY28Sc1wlulqSlnhk6UuPUpIxIlrKSmlK/huO/v6Gy2t7rJimtK+GZie7UN
CKiW3IIIuQG0P4z8+oms1JHGUw4nYNzX3x8I2Ci9jSlHxRFZS5g3TcnePZdNJH/JLRBmZvl4ttpR
2uwLcf3u/nHSc7lXhM5dAfdR7qfP2Gyh8Ten/WD7YU16EEVs43p5sAkwHDc1kbBU2phymtpjoiZO
ltX29NbWbrpFHvyx57t23Z+DpwE1sjlpUXsbZbWdreC8aOHAPPhpKv7iuCabKIaUWqIe5ckx6VYm
HoXZkQwRmVhWc3Y/Oj8T+0h7IosO5LHGb/LRWdr1ewvXtHDHN90ij05xcW3P4xQEx9rBhL7Q8dug
f+skqbPa0RKSCrtMYIq2QfzBKf1x7RqDuHCDtEH8R5TMdpS28xb2ZGPSUQJIbN+mYbFfv81oDi23
NsDAnh2ffVLpWlBJXuoUvjeR/p3t8TQL0EjqVo1CdU4L985T4rjHLnMs9uav8uMrvS8bsuS1hl0N
yX/eoBWf2ogCr7gFXaIa4PlGFORbsEfOgks05M0Xp6xblVvHYtPD/1LBXMPpfnMSekrWbD66Uigt
CMKT4J06TsHmp+e7zb0TumBK7mgJKbv1VzVl9HfnFeTRhhw/W+fUlPbLeQNnKZ/yNO390s/9T7vo
26mf1Z1r4hvjwLGT3/4LAAD//w==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_xlchart.v5.44</cx:f>
        <cx:nf>_xlchart.v5.43</cx:nf>
      </cx:strDim>
      <cx:strDim type="cat">
        <cx:f>_xlchart.v5.42</cx:f>
        <cx:nf>_xlchart.v5.41</cx:nf>
      </cx:strDim>
    </cx:data>
  </cx:chartData>
  <cx:chart>
    <cx:title pos="t" align="ctr" overlay="0"/>
    <cx:plotArea>
      <cx:plotAreaRegion>
        <cx:series layoutId="regionMap" uniqueId="{6A570565-E2AD-4BD8-BD71-5F1AF01B158E}">
          <cx:dataId val="0"/>
          <cx:layoutPr>
            <cx:geography cultureLanguage="en-US" cultureRegion="ID"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9525</xdr:colOff>
      <xdr:row>9</xdr:row>
      <xdr:rowOff>28574</xdr:rowOff>
    </xdr:from>
    <xdr:to>
      <xdr:col>16</xdr:col>
      <xdr:colOff>0</xdr:colOff>
      <xdr:row>28</xdr:row>
      <xdr:rowOff>324971</xdr:rowOff>
    </xdr:to>
    <xdr:graphicFrame macro="">
      <xdr:nvGraphicFramePr>
        <xdr:cNvPr id="3" name="Chart 2">
          <a:extLst>
            <a:ext uri="{FF2B5EF4-FFF2-40B4-BE49-F238E27FC236}">
              <a16:creationId xmlns:a16="http://schemas.microsoft.com/office/drawing/2014/main" id="{DF6E519F-AEB0-4DC0-A59B-207E92742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18</xdr:row>
      <xdr:rowOff>28575</xdr:rowOff>
    </xdr:from>
    <xdr:to>
      <xdr:col>5</xdr:col>
      <xdr:colOff>600075</xdr:colOff>
      <xdr:row>26</xdr:row>
      <xdr:rowOff>180974</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76A23311-D0DE-E6BF-8AC9-41C720DF237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07219" y="2933700"/>
              <a:ext cx="3028950" cy="16763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593912</xdr:colOff>
      <xdr:row>29</xdr:row>
      <xdr:rowOff>11207</xdr:rowOff>
    </xdr:from>
    <xdr:to>
      <xdr:col>10</xdr:col>
      <xdr:colOff>593912</xdr:colOff>
      <xdr:row>43</xdr:row>
      <xdr:rowOff>22413</xdr:rowOff>
    </xdr:to>
    <xdr:graphicFrame macro="">
      <xdr:nvGraphicFramePr>
        <xdr:cNvPr id="7" name="Chart 6">
          <a:extLst>
            <a:ext uri="{FF2B5EF4-FFF2-40B4-BE49-F238E27FC236}">
              <a16:creationId xmlns:a16="http://schemas.microsoft.com/office/drawing/2014/main" id="{734A08DA-0957-4E7A-9D9D-872D94F23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608134</xdr:colOff>
      <xdr:row>8</xdr:row>
      <xdr:rowOff>21980</xdr:rowOff>
    </xdr:from>
    <xdr:to>
      <xdr:col>6</xdr:col>
      <xdr:colOff>0</xdr:colOff>
      <xdr:row>18</xdr:row>
      <xdr:rowOff>14654</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82C2A31B-71F7-4070-BD8A-843081E151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08134" y="2146788"/>
              <a:ext cx="3040674" cy="2117481"/>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352425</xdr:colOff>
      <xdr:row>10</xdr:row>
      <xdr:rowOff>147637</xdr:rowOff>
    </xdr:from>
    <xdr:to>
      <xdr:col>12</xdr:col>
      <xdr:colOff>304800</xdr:colOff>
      <xdr:row>25</xdr:row>
      <xdr:rowOff>33337</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6D2CA0FC-2E87-08CC-8723-A281264A0D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9400" y="2052637"/>
              <a:ext cx="4572000" cy="27432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09871527781" backgroundQuery="1" createdVersion="8" refreshedVersion="8" minRefreshableVersion="3" recordCount="0" supportSubquery="1" supportAdvancedDrill="1" xr:uid="{8E290116-3796-4FAB-9DB9-4CD1063A1E53}">
  <cacheSource type="external" connectionId="7"/>
  <cacheFields count="2">
    <cacheField name="[Measures].[Sum of Total Sales]" caption="Sum of Total Sales" numFmtId="0" hierarchy="55" level="32767"/>
    <cacheField name="[Transaction_Success].[Month].[Month]" caption="Month" numFmtId="0" hierarchy="38" level="1">
      <sharedItems count="3">
        <s v="April"/>
        <s v="February"/>
        <s v="March"/>
      </sharedItems>
    </cacheField>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2" memberValueDatatype="130" unbalanced="0">
      <fieldsUsage count="2">
        <fieldUsage x="-1"/>
        <fieldUsage x="1"/>
      </fieldsUsage>
    </cacheHierarchy>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972173726848" backgroundQuery="1" createdVersion="8" refreshedVersion="8" minRefreshableVersion="3" recordCount="0" supportSubquery="1" supportAdvancedDrill="1" xr:uid="{1C47EE22-7C5A-44A8-B853-4D1CE8AA9EF3}">
  <cacheSource type="external" connectionId="7"/>
  <cacheFields count="4">
    <cacheField name="[Measures].[Sum of Total Sales]" caption="Sum of Total Sales" numFmtId="0" hierarchy="55" level="32767"/>
    <cacheField name="[Transaction_Success].[Product].[Product]" caption="Product" numFmtId="0" hierarchy="40" level="1">
      <sharedItems count="10">
        <s v="Book"/>
        <s v="Headphones"/>
        <s v="Jeans"/>
        <s v="Laptop"/>
        <s v="Refrigerator"/>
        <s v="Running Shoes"/>
        <s v="Smartphone"/>
        <s v="Smartwatch"/>
        <s v="T-Shirt"/>
        <s v="Washing Machine"/>
      </sharedItems>
    </cacheField>
    <cacheField name="[Measures].[Count of Order ID]" caption="Count of Order ID" numFmtId="0" hierarchy="57"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2" memberValueDatatype="130" unbalanced="0">
      <fieldsUsage count="2">
        <fieldUsage x="-1"/>
        <fieldUsage x="1"/>
      </fieldsUsage>
    </cacheHierarchy>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2"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y uniqueName="Unsupported0" caption="Country" measure="1" count="0">
      <extLst>
        <ext xmlns:x14="http://schemas.microsoft.com/office/spreadsheetml/2009/9/main" uri="{8CF416AD-EC4C-4aba-99F5-12A058AE0983}">
          <x14:cacheHierarchy ignore="1"/>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0987060185" backgroundQuery="1" createdVersion="8" refreshedVersion="8" minRefreshableVersion="3" recordCount="0" supportSubquery="1" supportAdvancedDrill="1" xr:uid="{ECDCE5FC-6CF9-4648-A9A6-2664EB870CBA}">
  <cacheSource type="external" connectionId="7"/>
  <cacheFields count="2">
    <cacheField name="[Measures].[Sum of Total Sales]" caption="Sum of Total Sales" numFmtId="0" hierarchy="55" level="32767"/>
    <cacheField name="[Transaction_Success].[Customer Name].[Customer Name]" caption="Customer Name" numFmtId="0" hierarchy="45" level="1">
      <sharedItems count="10">
        <s v="Chris White"/>
        <s v="Daniel Harris"/>
        <s v="David Lee"/>
        <s v="Emily Johnson"/>
        <s v="Emma Clark"/>
        <s v="Jane Smith"/>
        <s v="John Doe"/>
        <s v="Michael Brown"/>
        <s v="Olivia Wilson"/>
        <s v="Sophia Miller"/>
      </sharedItems>
    </cacheField>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2" memberValueDatatype="130" unbalanced="0">
      <fieldsUsage count="2">
        <fieldUsage x="-1"/>
        <fieldUsage x="1"/>
      </fieldsUsage>
    </cacheHierarchy>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09875462961" backgroundQuery="1" createdVersion="8" refreshedVersion="8" minRefreshableVersion="3" recordCount="0" supportSubquery="1" supportAdvancedDrill="1" xr:uid="{28386D06-B424-4667-BE67-B3A728ED03C0}">
  <cacheSource type="external" connectionId="7"/>
  <cacheFields count="2">
    <cacheField name="[Transaction_Success].[Customer Name].[Customer Name]" caption="Customer Name" numFmtId="0" hierarchy="45" level="1">
      <sharedItems count="10">
        <s v="Chris White"/>
        <s v="Daniel Harris"/>
        <s v="David Lee"/>
        <s v="Emily Johnson"/>
        <s v="Emma Clark"/>
        <s v="Jane Smith"/>
        <s v="John Doe"/>
        <s v="Michael Brown"/>
        <s v="Olivia Wilson"/>
        <s v="Sophia Miller"/>
      </sharedItems>
    </cacheField>
    <cacheField name="[Measures].[Sum of Quantity]" caption="Sum of Quantity" numFmtId="0" hierarchy="56" level="32767"/>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2" memberValueDatatype="130" unbalanced="0">
      <fieldsUsage count="2">
        <fieldUsage x="-1"/>
        <fieldUsage x="0"/>
      </fieldsUsage>
    </cacheHierarchy>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963988657408" backgroundQuery="1" createdVersion="8" refreshedVersion="8" minRefreshableVersion="3" recordCount="0" supportSubquery="1" supportAdvancedDrill="1" xr:uid="{C52F4CCF-3038-4BC0-8716-C7E3F760DF1F}">
  <cacheSource type="external" connectionId="7"/>
  <cacheFields count="2">
    <cacheField name="[Measures].[Sum of Quantity]" caption="Sum of Quantity" numFmtId="0" hierarchy="56" level="32767"/>
    <cacheField name="[Transaction_Success].[Payment Method].[Payment Method]" caption="Payment Method" numFmtId="0" hierarchy="48" level="1">
      <sharedItems count="5">
        <s v="Amazon Pay"/>
        <s v="Credit Card"/>
        <s v="Debit Card"/>
        <s v="Gift Card"/>
        <s v="PayPal"/>
      </sharedItems>
    </cacheField>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2" memberValueDatatype="130" unbalanced="0">
      <fieldsUsage count="2">
        <fieldUsage x="-1"/>
        <fieldUsage x="1"/>
      </fieldsUsage>
    </cacheHierarchy>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oneField="1" hidden="1">
      <fieldsUsage count="1">
        <fieldUsage x="0"/>
      </fieldsUsage>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09867708333" backgroundQuery="1" createdVersion="8" refreshedVersion="8" minRefreshableVersion="3" recordCount="0" supportSubquery="1" supportAdvancedDrill="1" xr:uid="{41ECD22A-ED5B-4340-A31D-D9878D34EBEC}">
  <cacheSource type="external" connectionId="7"/>
  <cacheFields count="2">
    <cacheField name="[Transaction_Success].[Payment Method].[Payment Method]" caption="Payment Method" numFmtId="0" hierarchy="48" level="1">
      <sharedItems count="5">
        <s v="Amazon Pay"/>
        <s v="Credit Card"/>
        <s v="Debit Card"/>
        <s v="Gift Card"/>
        <s v="PayPal"/>
      </sharedItems>
    </cacheField>
    <cacheField name="[Measures].[Sum of Total Sales]" caption="Sum of Total Sales" numFmtId="0" hierarchy="55" level="32767"/>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2" memberValueDatatype="130" unbalanced="0">
      <fieldsUsage count="2">
        <fieldUsage x="-1"/>
        <fieldUsage x="0"/>
      </fieldsUsage>
    </cacheHierarchy>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907840277781" backgroundQuery="1" createdVersion="8" refreshedVersion="8" minRefreshableVersion="3" recordCount="0" supportSubquery="1" supportAdvancedDrill="1" xr:uid="{FBB2FA37-008D-4E4A-8FE5-69BA7E4F208E}">
  <cacheSource type="external" connectionId="7"/>
  <cacheFields count="2">
    <cacheField name="[Transaction_Success].[Product].[Product]" caption="Product" numFmtId="0" hierarchy="40" level="1">
      <sharedItems count="10">
        <s v="Book"/>
        <s v="Headphones"/>
        <s v="Jeans"/>
        <s v="Laptop"/>
        <s v="Refrigerator"/>
        <s v="Running Shoes"/>
        <s v="Smartphone"/>
        <s v="Smartwatch"/>
        <s v="T-Shirt"/>
        <s v="Washing Machine"/>
      </sharedItems>
    </cacheField>
    <cacheField name="[Measures].[Sum of Quantity]" caption="Sum of Quantity" numFmtId="0" hierarchy="56" level="32767"/>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2" memberValueDatatype="130" unbalanced="0">
      <fieldsUsage count="2">
        <fieldUsage x="-1"/>
        <fieldUsage x="0"/>
      </fieldsUsage>
    </cacheHierarchy>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977716319445" backgroundQuery="1" createdVersion="8" refreshedVersion="8" minRefreshableVersion="3" recordCount="0" supportSubquery="1" supportAdvancedDrill="1" xr:uid="{23241DEC-1E95-4F2B-A324-2D395B8EB3A3}">
  <cacheSource type="external" connectionId="7"/>
  <cacheFields count="3">
    <cacheField name="[Transaction_Success].[Day].[Day]" caption="Day" numFmtId="0" hierarchy="39" level="1">
      <sharedItems count="7">
        <s v="Friday"/>
        <s v="Monday"/>
        <s v="Saturday"/>
        <s v="Sunday"/>
        <s v="Thursday"/>
        <s v="Tuesday"/>
        <s v="Wednesday"/>
      </sharedItems>
    </cacheField>
    <cacheField name="[Measures].[Sum of Total Sales]" caption="Sum of Total Sales" numFmtId="0" hierarchy="55" level="32767"/>
    <cacheField name="[Measures].[Count of Order ID]" caption="Count of Order ID" numFmtId="0" hierarchy="57" level="32767"/>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2" memberValueDatatype="130" unbalanced="0">
      <fieldsUsage count="2">
        <fieldUsage x="-1"/>
        <fieldUsage x="0"/>
      </fieldsUsage>
    </cacheHierarchy>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89999421299" backgroundQuery="1" createdVersion="8" refreshedVersion="8" minRefreshableVersion="3" recordCount="0" supportSubquery="1" supportAdvancedDrill="1" xr:uid="{9ECA3FC5-016F-4D2E-8F61-852AA4E6D94C}">
  <cacheSource type="external" connectionId="7"/>
  <cacheFields count="2">
    <cacheField name="[Measures].[Sum of Total Sales 3]" caption="Sum of Total Sales 3" numFmtId="0" hierarchy="58" level="32767"/>
    <cacheField name="[Measures].[Count of Order ID 2]" caption="Count of Order ID 2" numFmtId="0" hierarchy="59" level="32767"/>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6.905722800926" backgroundQuery="1" createdVersion="8" refreshedVersion="8" minRefreshableVersion="3" recordCount="0" supportSubquery="1" supportAdvancedDrill="1" xr:uid="{3C09EF0E-F97E-438F-9C7E-24EDE6BAF4F7}">
  <cacheSource type="external" connectionId="7"/>
  <cacheFields count="3">
    <cacheField name="[Transaction_Final].[State].[State]" caption="State" numFmtId="0" hierarchy="29" level="1">
      <sharedItems count="8">
        <s v="California"/>
        <s v="Colorado"/>
        <s v="Florida"/>
        <s v="Illinois"/>
        <s v="Massachusetts"/>
        <s v="New York"/>
        <s v="Texas"/>
        <s v="Washington"/>
      </sharedItems>
    </cacheField>
    <cacheField name="[Measures].[Sum of Total Sales 3]" caption="Sum of Total Sales 3" numFmtId="0" hierarchy="58" level="32767"/>
    <cacheField name="[Transaction_Final].[Location].[Location]" caption="Location" numFmtId="0" hierarchy="28" level="1">
      <sharedItems count="7">
        <s v="Denver"/>
        <s v="Miami"/>
        <s v="Chicago"/>
        <s v="Boston"/>
        <s v="Seattle"/>
        <s v="Dallas" u="1"/>
        <s v="Houston" u="1"/>
      </sharedItems>
    </cacheField>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2" memberValueDatatype="130" unbalanced="0">
      <fieldsUsage count="2">
        <fieldUsage x="-1"/>
        <fieldUsage x="2"/>
      </fieldsUsage>
    </cacheHierarchy>
    <cacheHierarchy uniqueName="[Transaction_Final].[State]" caption="State" attribute="1" defaultMemberUniqueName="[Transaction_Final].[State].[All]" allUniqueName="[Transaction_Final].[State].[All]" dimensionUniqueName="[Transaction_Final]" displayFolder="" count="2" memberValueDatatype="130" unbalanced="0">
      <fieldsUsage count="2">
        <fieldUsage x="-1"/>
        <fieldUsage x="0"/>
      </fieldsUsage>
    </cacheHierarchy>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98435416668" backgroundQuery="1" createdVersion="3" refreshedVersion="8" minRefreshableVersion="3" recordCount="0" supportSubquery="1" supportAdvancedDrill="1" xr:uid="{D9B6E32D-55D6-4A3D-BCE3-023BEF58F782}">
  <cacheSource type="external" connectionId="7">
    <extLst>
      <ext xmlns:x14="http://schemas.microsoft.com/office/spreadsheetml/2009/9/main" uri="{F057638F-6D5F-4e77-A914-E7F072B9BCA8}">
        <x14:sourceConnection name="ThisWorkbookDataModel"/>
      </ext>
    </extLst>
  </cacheSource>
  <cacheFields count="0"/>
  <cacheHierarchies count="60">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licerData="1" pivotCacheId="18243349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72711C-4318-4844-9895-56C421A39591}" name="PivotTable9" cacheId="8" applyNumberFormats="0" applyBorderFormats="0" applyFontFormats="0" applyPatternFormats="0" applyAlignmentFormats="0" applyWidthHeightFormats="1" dataCaption="Values" tag="bd44b2de-f403-4f28-a9a3-066d868f9749" updatedVersion="8" minRefreshableVersion="3" useAutoFormatting="1" itemPrintTitles="1" createdVersion="8" indent="0" outline="1" outlineData="1" multipleFieldFilters="0" rowHeaderCaption="Day">
  <location ref="N20:P28"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8">
    <i>
      <x v="3"/>
    </i>
    <i>
      <x v="1"/>
    </i>
    <i>
      <x v="6"/>
    </i>
    <i>
      <x v="4"/>
    </i>
    <i>
      <x v="5"/>
    </i>
    <i>
      <x/>
    </i>
    <i>
      <x v="2"/>
    </i>
    <i t="grand">
      <x/>
    </i>
  </rowItems>
  <colFields count="1">
    <field x="-2"/>
  </colFields>
  <colItems count="2">
    <i>
      <x/>
    </i>
    <i i="1">
      <x v="1"/>
    </i>
  </colItems>
  <dataFields count="2">
    <dataField name="Sum of Total Sales" fld="1" baseField="0" baseItem="0" numFmtId="164"/>
    <dataField name="Count of Order ID" fld="2" subtotal="count" baseField="0" baseItem="0"/>
  </dataFields>
  <formats count="7">
    <format dxfId="57">
      <pivotArea outline="0" collapsedLevelsAreSubtotals="1" fieldPosition="0">
        <references count="1">
          <reference field="4294967294" count="1" selected="0">
            <x v="0"/>
          </reference>
        </references>
      </pivotArea>
    </format>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grandRow="1" outline="0" fieldPosition="0"/>
    </format>
    <format dxfId="51">
      <pivotArea dataOnly="0" labelOnly="1" outline="0" fieldPosition="0">
        <references count="1">
          <reference field="4294967294" count="2">
            <x v="0"/>
            <x v="1"/>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4F2841-EB37-4CF8-89E7-106411F9B3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C8" firstHeaderRow="1" firstDataRow="1" firstDataCol="1"/>
  <pivotFields count="2">
    <pivotField dataField="1" subtotalTop="0" showAll="0" defaultSubtotal="0"/>
    <pivotField axis="axisRow" allDrilled="1" subtotalTop="0" showAll="0" sortType="ascending" defaultSubtotal="0" defaultAttributeDrillState="1">
      <items count="3">
        <item x="1"/>
        <item x="2"/>
        <item x="0"/>
      </items>
    </pivotField>
  </pivotFields>
  <rowFields count="1">
    <field x="1"/>
  </rowFields>
  <rowItems count="4">
    <i>
      <x/>
    </i>
    <i>
      <x v="1"/>
    </i>
    <i>
      <x v="2"/>
    </i>
    <i t="grand">
      <x/>
    </i>
  </rowItems>
  <colItems count="1">
    <i/>
  </colItems>
  <dataFields count="1">
    <dataField name="Sum of Total Sales" fld="0" baseField="0" baseItem="0"/>
  </dataFields>
  <formats count="8">
    <format dxfId="65">
      <pivotArea field="1" type="button" dataOnly="0" labelOnly="1" outline="0" axis="axisRow"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1" type="button" dataOnly="0" labelOnly="1" outline="0" axis="axisRow" fieldPosition="0"/>
    </format>
    <format dxfId="60">
      <pivotArea dataOnly="0" labelOnly="1" fieldPosition="0">
        <references count="1">
          <reference field="1" count="0"/>
        </references>
      </pivotArea>
    </format>
    <format dxfId="59">
      <pivotArea dataOnly="0" labelOnly="1" grandRow="1" outline="0" fieldPosition="0"/>
    </format>
    <format dxfId="58">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FAACC7-16FB-42D2-A50C-EA8FE4E5FA8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31" firstHeaderRow="1" firstDataRow="1" firstDataCol="1"/>
  <pivotFields count="2">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4"/>
    </i>
    <i>
      <x v="6"/>
    </i>
    <i>
      <x v="8"/>
    </i>
    <i>
      <x v="7"/>
    </i>
    <i>
      <x v="3"/>
    </i>
    <i>
      <x v="5"/>
    </i>
    <i>
      <x v="2"/>
    </i>
    <i>
      <x v="9"/>
    </i>
    <i>
      <x v="1"/>
    </i>
    <i>
      <x/>
    </i>
    <i t="grand">
      <x/>
    </i>
  </rowItems>
  <colItems count="1">
    <i/>
  </colItems>
  <dataFields count="1">
    <dataField name="Sum of Total Sales" fld="0" baseField="0" baseItem="0"/>
  </dataFields>
  <formats count="6">
    <format dxfId="71">
      <pivotArea type="all" dataOnly="0" outline="0" fieldPosition="0"/>
    </format>
    <format dxfId="70">
      <pivotArea outline="0" collapsedLevelsAreSubtotals="1" fieldPosition="0"/>
    </format>
    <format dxfId="69">
      <pivotArea field="1" type="button" dataOnly="0" labelOnly="1" outline="0" axis="axisRow" fieldPosition="0"/>
    </format>
    <format dxfId="68">
      <pivotArea dataOnly="0" labelOnly="1" fieldPosition="0">
        <references count="1">
          <reference field="1" count="0"/>
        </references>
      </pivotArea>
    </format>
    <format dxfId="67">
      <pivotArea dataOnly="0" labelOnly="1" grandRow="1" outline="0" fieldPosition="0"/>
    </format>
    <format dxfId="66">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70AD2C-CF3E-48B7-AF4F-078A374B7783}" name="PivotTable5" cacheId="5" applyNumberFormats="0" applyBorderFormats="0" applyFontFormats="0" applyPatternFormats="0" applyAlignmentFormats="0" applyWidthHeightFormats="1" dataCaption="Values" tag="84b0b861-e473-4ea0-bb8e-414cbc11ce88" updatedVersion="8" minRefreshableVersion="3" useAutoFormatting="1" itemPrintTitles="1" createdVersion="8" indent="0" outline="1" outlineData="1" multipleFieldFilters="0" chartFormat="1" rowHeaderCaption="Method">
  <location ref="H20:I26"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4"/>
    </i>
    <i>
      <x/>
    </i>
    <i>
      <x v="2"/>
    </i>
    <i>
      <x v="1"/>
    </i>
    <i>
      <x v="3"/>
    </i>
    <i t="grand">
      <x/>
    </i>
  </rowItems>
  <colItems count="1">
    <i/>
  </colItems>
  <dataFields count="1">
    <dataField name="Sum of Quantity" fld="0" baseField="0" baseItem="0"/>
  </dataFields>
  <formats count="6">
    <format dxfId="77">
      <pivotArea type="all" dataOnly="0" outline="0" fieldPosition="0"/>
    </format>
    <format dxfId="76">
      <pivotArea outline="0" collapsedLevelsAreSubtotals="1" fieldPosition="0"/>
    </format>
    <format dxfId="75">
      <pivotArea field="1" type="button" dataOnly="0" labelOnly="1" outline="0" axis="axisRow" fieldPosition="0"/>
    </format>
    <format dxfId="74">
      <pivotArea dataOnly="0" labelOnly="1" fieldPosition="0">
        <references count="1">
          <reference field="1" count="0"/>
        </references>
      </pivotArea>
    </format>
    <format dxfId="73">
      <pivotArea dataOnly="0" labelOnly="1" grandRow="1" outline="0" fieldPosition="0"/>
    </format>
    <format dxfId="72">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FA1679-52C8-4D87-B88B-F11E86F0EF7E}" name="PivotTable8" cacheId="7" applyNumberFormats="0" applyBorderFormats="0" applyFontFormats="0" applyPatternFormats="0" applyAlignmentFormats="0" applyWidthHeightFormats="1" dataCaption="Values" tag="39361904-3989-47f7-bff6-a78a4dd47994" updatedVersion="8" minRefreshableVersion="3" useAutoFormatting="1" itemPrintTitles="1" createdVersion="8" indent="0" outline="1" outlineData="1" multipleFieldFilters="0" chartFormat="14">
  <location ref="N4:O15"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6"/>
    </i>
    <i>
      <x v="3"/>
    </i>
    <i>
      <x v="8"/>
    </i>
    <i>
      <x v="5"/>
    </i>
    <i>
      <x v="2"/>
    </i>
    <i>
      <x v="4"/>
    </i>
    <i>
      <x v="1"/>
    </i>
    <i>
      <x/>
    </i>
    <i>
      <x v="9"/>
    </i>
    <i t="grand">
      <x/>
    </i>
  </rowItems>
  <colItems count="1">
    <i/>
  </colItems>
  <dataFields count="1">
    <dataField name="Sum of Quantity" fld="1" baseField="0" baseItem="0"/>
  </dataFields>
  <formats count="8">
    <format dxfId="85">
      <pivotArea field="0" type="button" dataOnly="0" labelOnly="1" outline="0" axis="axisRow"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C840B9-DC52-4FFC-842D-E0311E39443E}" name="PivotTable3" cacheId="2" applyNumberFormats="0" applyBorderFormats="0" applyFontFormats="0" applyPatternFormats="0" applyAlignmentFormats="0" applyWidthHeightFormats="1" dataCaption="Values" tag="776beb11-559a-42bf-a7c3-1d91f97eeb75" updatedVersion="8" minRefreshableVersion="3" useAutoFormatting="1" subtotalHiddenItems="1" itemPrintTitles="1" createdVersion="8" indent="0" compact="0" compactData="0" multipleFieldFilters="0" rowHeaderCaption="Product">
  <location ref="I4:L15" firstHeaderRow="0" firstDataRow="1" firstDataCol="1"/>
  <pivotFields count="4">
    <pivotField dataField="1" compact="0" outline="0" subtotalTop="0" showAll="0" defaultSubtotal="0"/>
    <pivotField axis="axisRow" compact="0" allDrilled="1" outline="0"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compact="0" outline="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1">
    <i>
      <x v="6"/>
    </i>
    <i>
      <x v="7"/>
    </i>
    <i>
      <x v="5"/>
    </i>
    <i>
      <x v="8"/>
    </i>
    <i>
      <x v="3"/>
    </i>
    <i>
      <x v="4"/>
    </i>
    <i>
      <x v="1"/>
    </i>
    <i>
      <x v="2"/>
    </i>
    <i>
      <x/>
    </i>
    <i>
      <x v="9"/>
    </i>
    <i t="grand">
      <x/>
    </i>
  </rowItems>
  <colFields count="1">
    <field x="-2"/>
  </colFields>
  <colItems count="3">
    <i>
      <x/>
    </i>
    <i i="1">
      <x v="1"/>
    </i>
    <i i="2">
      <x v="2"/>
    </i>
  </colItems>
  <dataFields count="3">
    <dataField name="Sum of Total Sales" fld="0" baseField="0" baseItem="0"/>
    <dataField name="Count of Order ID" fld="2" subtotal="count" baseField="0" baseItem="0"/>
    <dataField name="Percentages" fld="3" showDataAs="percentOfTotal" baseField="1" baseItem="0" numFmtId="10">
      <extLst>
        <ext xmlns:x14="http://schemas.microsoft.com/office/spreadsheetml/2009/9/main" uri="{E15A36E0-9728-4e99-A89B-3F7291B0FE68}">
          <x14:dataField sourceField="0" uniqueName="[__Xl2].[Measures].[Sum of Total Sales]"/>
        </ext>
      </extLst>
    </dataField>
  </dataFields>
  <formats count="8">
    <format dxfId="93">
      <pivotArea field="1" type="button" dataOnly="0" labelOnly="1" outline="0" axis="axisRow" fieldPosition="0"/>
    </format>
    <format dxfId="92">
      <pivotArea dataOnly="0" labelOnly="1" outline="0" fieldPosition="0">
        <references count="1">
          <reference field="4294967294" count="3">
            <x v="0"/>
            <x v="1"/>
            <x v="2"/>
          </reference>
        </references>
      </pivotArea>
    </format>
    <format dxfId="91">
      <pivotArea type="all" dataOnly="0" outline="0" fieldPosition="0"/>
    </format>
    <format dxfId="90">
      <pivotArea outline="0" collapsedLevelsAreSubtotals="1" fieldPosition="0"/>
    </format>
    <format dxfId="89">
      <pivotArea field="1" type="button" dataOnly="0" labelOnly="1" outline="0" axis="axisRow" fieldPosition="0"/>
    </format>
    <format dxfId="88">
      <pivotArea dataOnly="0" labelOnly="1" outline="0" fieldPosition="0">
        <references count="1">
          <reference field="1" count="0"/>
        </references>
      </pivotArea>
    </format>
    <format dxfId="87">
      <pivotArea dataOnly="0" labelOnly="1" grandRow="1" outline="0" fieldPosition="0"/>
    </format>
    <format dxfId="86">
      <pivotArea dataOnly="0" labelOnly="1" outline="0" fieldPosition="0">
        <references count="1">
          <reference field="4294967294" count="3">
            <x v="0"/>
            <x v="1"/>
            <x v="2"/>
          </reference>
        </references>
      </pivotArea>
    </format>
  </formats>
  <conditionalFormats count="2">
    <conditionalFormat type="all" priority="1">
      <pivotAreas count="1">
        <pivotArea type="data" outline="0" collapsedLevelsAreSubtotals="1" fieldPosition="0">
          <references count="2">
            <reference field="4294967294" count="1" selected="0">
              <x v="2"/>
            </reference>
            <reference field="1" count="10" selected="0">
              <x v="0"/>
              <x v="1"/>
              <x v="2"/>
              <x v="3"/>
              <x v="4"/>
              <x v="5"/>
              <x v="6"/>
              <x v="7"/>
              <x v="8"/>
              <x v="9"/>
            </reference>
          </references>
        </pivotArea>
      </pivotAreas>
    </conditionalFormat>
    <conditionalFormat type="all" priority="2">
      <pivotAreas count="1">
        <pivotArea type="data" outline="0" collapsedLevelsAreSubtotals="1" fieldPosition="0">
          <references count="2">
            <reference field="4294967294" count="1" selected="0">
              <x v="2"/>
            </reference>
            <reference field="1" count="10" selected="0">
              <x v="0"/>
              <x v="1"/>
              <x v="2"/>
              <x v="3"/>
              <x v="4"/>
              <x v="5"/>
              <x v="6"/>
              <x v="7"/>
              <x v="8"/>
              <x v="9"/>
            </reference>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rice"/>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203A11-0EA3-4206-BF7E-53F2CC264578}"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F31"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7"/>
    </i>
    <i>
      <x v="6"/>
    </i>
    <i>
      <x v="8"/>
    </i>
    <i>
      <x v="3"/>
    </i>
    <i>
      <x v="9"/>
    </i>
    <i>
      <x v="5"/>
    </i>
    <i>
      <x/>
    </i>
    <i>
      <x v="1"/>
    </i>
    <i>
      <x v="2"/>
    </i>
    <i t="grand">
      <x/>
    </i>
  </rowItems>
  <colItems count="1">
    <i/>
  </colItems>
  <dataFields count="1">
    <dataField name="Sum of Quantity" fld="1" baseField="0" baseItem="0"/>
  </dataFields>
  <formats count="6">
    <format dxfId="99">
      <pivotArea type="all" dataOnly="0" outline="0" fieldPosition="0"/>
    </format>
    <format dxfId="98">
      <pivotArea outline="0" collapsedLevelsAreSubtotals="1" fieldPosition="0"/>
    </format>
    <format dxfId="97">
      <pivotArea field="0" type="button" dataOnly="0" labelOnly="1" outline="0" axis="axisRow" fieldPosition="0"/>
    </format>
    <format dxfId="96">
      <pivotArea dataOnly="0" labelOnly="1" fieldPosition="0">
        <references count="1">
          <reference field="0" count="0"/>
        </references>
      </pivotArea>
    </format>
    <format dxfId="95">
      <pivotArea dataOnly="0" labelOnly="1" grandRow="1" outline="0" fieldPosition="0"/>
    </format>
    <format dxfId="94">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9CB186-9049-4DDD-86B2-939CA1DCCB48}" name="PivotTable2" cacheId="18" applyNumberFormats="0" applyBorderFormats="0" applyFontFormats="0" applyPatternFormats="0" applyAlignmentFormats="0" applyWidthHeightFormats="1" dataCaption="Values" tag="3bcd3f06-7d60-4186-816c-5bde28f7191a" updatedVersion="8" minRefreshableVersion="3" useAutoFormatting="1" itemPrintTitles="1" createdVersion="8" indent="0" compact="0" compactData="0" multipleFieldFilters="0">
  <location ref="E4:G13" firstHeaderRow="1" firstDataRow="1" firstDataCol="2"/>
  <pivotFields count="3">
    <pivotField axis="axisRow" compact="0" allDrilled="1" outline="0" showAll="0" dataSourceSort="1" defaultSubtotal="0">
      <items count="8">
        <item x="0" e="0"/>
        <item x="1"/>
        <item x="2"/>
        <item x="3"/>
        <item x="4"/>
        <item x="5" e="0"/>
        <item x="6" e="0"/>
        <item x="7"/>
      </items>
    </pivotField>
    <pivotField dataField="1" compact="0" outline="0" subtotalTop="0" showAll="0" defaultSubtotal="0"/>
    <pivotField name="City" axis="axisRow" compact="0" allDrilled="1" outline="0" showAll="0" sortType="ascending" defaultSubtotal="0" defaultAttributeDrillState="1">
      <items count="7">
        <item x="3"/>
        <item x="2"/>
        <item x="5"/>
        <item x="0"/>
        <item x="6"/>
        <item x="1"/>
        <item x="4"/>
      </items>
    </pivotField>
  </pivotFields>
  <rowFields count="2">
    <field x="0"/>
    <field x="2"/>
  </rowFields>
  <rowItems count="9">
    <i>
      <x/>
    </i>
    <i>
      <x v="1"/>
      <x v="3"/>
    </i>
    <i>
      <x v="2"/>
      <x v="5"/>
    </i>
    <i>
      <x v="3"/>
      <x v="1"/>
    </i>
    <i>
      <x v="4"/>
      <x/>
    </i>
    <i>
      <x v="5"/>
    </i>
    <i>
      <x v="6"/>
    </i>
    <i>
      <x v="7"/>
      <x v="6"/>
    </i>
    <i t="grand">
      <x/>
    </i>
  </rowItems>
  <colItems count="1">
    <i/>
  </colItems>
  <dataFields count="1">
    <dataField name="Sum of Total Sales" fld="1" baseField="0" baseItem="0"/>
  </dataFields>
  <formats count="17">
    <format dxfId="116">
      <pivotArea field="0" type="button" dataOnly="0" labelOnly="1" outline="0" axis="axisRow" fieldPosition="0"/>
    </format>
    <format dxfId="115">
      <pivotArea field="2" type="button" dataOnly="0" labelOnly="1" outline="0" axis="axisRow" fieldPosition="1"/>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0" type="button" dataOnly="0" labelOnly="1" outline="0" axis="axisRow" fieldPosition="0"/>
    </format>
    <format dxfId="110">
      <pivotArea field="2" type="button" dataOnly="0" labelOnly="1" outline="0" axis="axisRow" fieldPosition="1"/>
    </format>
    <format dxfId="109">
      <pivotArea dataOnly="0" labelOnly="1" outline="0" fieldPosition="0">
        <references count="1">
          <reference field="0" count="0"/>
        </references>
      </pivotArea>
    </format>
    <format dxfId="108">
      <pivotArea dataOnly="0" labelOnly="1" grandRow="1" outline="0" fieldPosition="0"/>
    </format>
    <format dxfId="107">
      <pivotArea dataOnly="0" labelOnly="1" outline="0" fieldPosition="0">
        <references count="2">
          <reference field="0" count="1" selected="0">
            <x v="0"/>
          </reference>
          <reference field="2" count="2">
            <x v="1048832"/>
            <x v="1048832"/>
          </reference>
        </references>
      </pivotArea>
    </format>
    <format dxfId="106">
      <pivotArea dataOnly="0" labelOnly="1" outline="0" fieldPosition="0">
        <references count="2">
          <reference field="0" count="1" selected="0">
            <x v="1"/>
          </reference>
          <reference field="2" count="1">
            <x v="3"/>
          </reference>
        </references>
      </pivotArea>
    </format>
    <format dxfId="105">
      <pivotArea dataOnly="0" labelOnly="1" outline="0" fieldPosition="0">
        <references count="2">
          <reference field="0" count="1" selected="0">
            <x v="2"/>
          </reference>
          <reference field="2" count="1">
            <x v="5"/>
          </reference>
        </references>
      </pivotArea>
    </format>
    <format dxfId="104">
      <pivotArea dataOnly="0" labelOnly="1" outline="0" fieldPosition="0">
        <references count="2">
          <reference field="0" count="1" selected="0">
            <x v="3"/>
          </reference>
          <reference field="2" count="1">
            <x v="1"/>
          </reference>
        </references>
      </pivotArea>
    </format>
    <format dxfId="103">
      <pivotArea dataOnly="0" labelOnly="1" outline="0" fieldPosition="0">
        <references count="2">
          <reference field="0" count="1" selected="0">
            <x v="4"/>
          </reference>
          <reference field="2" count="1">
            <x v="0"/>
          </reference>
        </references>
      </pivotArea>
    </format>
    <format dxfId="102">
      <pivotArea dataOnly="0" labelOnly="1" outline="0" fieldPosition="0">
        <references count="2">
          <reference field="0" count="1" selected="0">
            <x v="6"/>
          </reference>
          <reference field="2" count="2">
            <x v="2"/>
            <x v="4"/>
          </reference>
        </references>
      </pivotArea>
    </format>
    <format dxfId="101">
      <pivotArea dataOnly="0" labelOnly="1" outline="0" fieldPosition="0">
        <references count="2">
          <reference field="0" count="1" selected="0">
            <x v="7"/>
          </reference>
          <reference field="2" count="1">
            <x v="6"/>
          </reference>
        </references>
      </pivotArea>
    </format>
    <format dxfId="100">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EEAB02-2ADA-41A7-9F83-4265305CD852}" name="PivotTable10" cacheId="9" applyNumberFormats="0" applyBorderFormats="0" applyFontFormats="0" applyPatternFormats="0" applyAlignmentFormats="0" applyWidthHeightFormats="1" dataCaption="Values" tag="6840f3ea-6483-401f-8a14-a041290c5cab" updatedVersion="8" minRefreshableVersion="3" useAutoFormatting="1" itemPrintTitles="1" createdVersion="8" indent="0" compact="0" compactData="0" multipleFieldFilters="0">
  <location ref="B36:C37" firstHeaderRow="0" firstDataRow="1" firstDataCol="0"/>
  <pivotFields count="2">
    <pivotField dataField="1" compact="0" outline="0" subtotalTop="0" showAll="0" defaultSubtotal="0"/>
    <pivotField dataField="1" compact="0" outline="0" subtotalTop="0" showAll="0" defaultSubtotal="0"/>
  </pivotFields>
  <rowItems count="1">
    <i/>
  </rowItems>
  <colFields count="1">
    <field x="-2"/>
  </colFields>
  <colItems count="2">
    <i>
      <x/>
    </i>
    <i i="1">
      <x v="1"/>
    </i>
  </colItems>
  <dataFields count="2">
    <dataField name="Sum of Total Sales" fld="0" baseField="0" baseItem="0"/>
    <dataField name="Count of Order ID" fld="1" subtotal="count" baseField="0" baseItem="0"/>
  </dataFields>
  <formats count="3">
    <format dxfId="119">
      <pivotArea type="all" dataOnly="0" outline="0" fieldPosition="0"/>
    </format>
    <format dxfId="118">
      <pivotArea outline="0" collapsedLevelsAreSubtotals="1" fieldPosition="0"/>
    </format>
    <format dxfId="117">
      <pivotArea dataOnly="0" labelOnly="1" outline="0" fieldPosition="0">
        <references count="1">
          <reference field="4294967294" count="2">
            <x v="0"/>
            <x v="1"/>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60650A-AF13-4C78-A6F6-809AD106C694}" name="PivotTable7" cacheId="6" applyNumberFormats="0" applyBorderFormats="0" applyFontFormats="0" applyPatternFormats="0" applyAlignmentFormats="0" applyWidthHeightFormats="1" dataCaption="Values" tag="8e56503b-483a-46d7-8c11-923ba89dd66b" updatedVersion="8" minRefreshableVersion="3" useAutoFormatting="1" itemPrintTitles="1" createdVersion="8" indent="0" outline="1" outlineData="1" multipleFieldFilters="0" chartFormat="17">
  <location ref="K20:L26"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i>
    <i>
      <x v="1"/>
    </i>
    <i>
      <x v="2"/>
    </i>
    <i>
      <x v="3"/>
    </i>
    <i t="grand">
      <x/>
    </i>
  </rowItems>
  <colItems count="1">
    <i/>
  </colItems>
  <dataFields count="1">
    <dataField name="Sum of Total Sales" fld="1" baseField="0" baseItem="0"/>
  </dataFields>
  <formats count="8">
    <format dxfId="127">
      <pivotArea collapsedLevelsAreSubtotals="1" fieldPosition="0">
        <references count="1">
          <reference field="0" count="0"/>
        </references>
      </pivotArea>
    </format>
    <format dxfId="126">
      <pivotArea collapsedLevelsAreSubtotals="1" fieldPosition="0">
        <references count="1">
          <reference field="0" count="0"/>
        </references>
      </pivotArea>
    </format>
    <format dxfId="125">
      <pivotArea type="all" dataOnly="0" outline="0" fieldPosition="0"/>
    </format>
    <format dxfId="124">
      <pivotArea outline="0" collapsedLevelsAreSubtotals="1"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grandRow="1" outline="0" fieldPosition="0"/>
    </format>
    <format dxfId="12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0" count="1" selected="0">
            <x v="4"/>
          </reference>
        </references>
      </pivotArea>
    </chartFormat>
    <chartFormat chart="13" format="9">
      <pivotArea type="data" outline="0" fieldPosition="0">
        <references count="2">
          <reference field="4294967294" count="1" selected="0">
            <x v="0"/>
          </reference>
          <reference field="0" count="1" selected="0">
            <x v="0"/>
          </reference>
        </references>
      </pivotArea>
    </chartFormat>
    <chartFormat chart="13" format="10">
      <pivotArea type="data" outline="0" fieldPosition="0">
        <references count="2">
          <reference field="4294967294" count="1" selected="0">
            <x v="0"/>
          </reference>
          <reference field="0" count="1" selected="0">
            <x v="1"/>
          </reference>
        </references>
      </pivotArea>
    </chartFormat>
    <chartFormat chart="13" format="11">
      <pivotArea type="data" outline="0" fieldPosition="0">
        <references count="2">
          <reference field="4294967294" count="1" selected="0">
            <x v="0"/>
          </reference>
          <reference field="0" count="1" selected="0">
            <x v="2"/>
          </reference>
        </references>
      </pivotArea>
    </chartFormat>
    <chartFormat chart="13" format="12">
      <pivotArea type="data" outline="0" fieldPosition="0">
        <references count="2">
          <reference field="4294967294" count="1" selected="0">
            <x v="0"/>
          </reference>
          <reference field="0"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4406949-D371-4945-A7A5-A0EDE351429E}" autoFormatId="16" applyNumberFormats="0" applyBorderFormats="0" applyFontFormats="0" applyPatternFormats="0" applyAlignmentFormats="0" applyWidthHeightFormats="0">
  <queryTableRefresh nextId="27">
    <queryTableFields count="13">
      <queryTableField id="14" name="Order ID" tableColumnId="14"/>
      <queryTableField id="15" name="Date" tableColumnId="15"/>
      <queryTableField id="16" name="Month" tableColumnId="16"/>
      <queryTableField id="17" name="Day" tableColumnId="17"/>
      <queryTableField id="18" name="Product" tableColumnId="18"/>
      <queryTableField id="19" name="Category" tableColumnId="19"/>
      <queryTableField id="20" name="Price" tableColumnId="20"/>
      <queryTableField id="21" name="Quantity" tableColumnId="21"/>
      <queryTableField id="22" name="Total Sales" tableColumnId="22"/>
      <queryTableField id="23" name="Customer Name" tableColumnId="23"/>
      <queryTableField id="24" name="Customer Location" tableColumnId="24"/>
      <queryTableField id="25" name="Payment Method" tableColumnId="25"/>
      <queryTableField id="26" name="Status"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F3FF819-2B0D-417C-9B82-14136F1892D9}" sourceName="[Transaction_Success].[Location]">
  <data>
    <olap pivotCacheId="1824334993">
      <levels count="2">
        <level uniqueName="[Transaction_Success].[Location].[(All)]" sourceCaption="(All)" count="0"/>
        <level uniqueName="[Transaction_Success].[Location].[Location]" sourceCaption="Location" count="10">
          <ranges>
            <range startItem="0">
              <i n="[Transaction_Success].[Location].&amp;[Boston]" c="Boston"/>
              <i n="[Transaction_Success].[Location].&amp;[Chicago]" c="Chicago"/>
              <i n="[Transaction_Success].[Location].&amp;[Dallas]" c="Dallas"/>
              <i n="[Transaction_Success].[Location].&amp;[Denver]" c="Denver"/>
              <i n="[Transaction_Success].[Location].&amp;[Houston]" c="Houston"/>
              <i n="[Transaction_Success].[Location].&amp;[Los Angeles]" c="Los Angeles"/>
              <i n="[Transaction_Success].[Location].&amp;[Miami]" c="Miami"/>
              <i n="[Transaction_Success].[Location].&amp;[New York]" c="New York"/>
              <i n="[Transaction_Success].[Location].&amp;[San Francisco]" c="San Francisco"/>
              <i n="[Transaction_Success].[Location].&amp;[Seattle]" c="Seattle"/>
            </range>
          </ranges>
        </level>
      </levels>
      <selections count="1">
        <selection n="[Transaction_Success].[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909CA56A-AF8B-4B97-8982-55196BF8D3B1}" cache="Slicer_Location" caption="Location" startItem="5" level="1"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247CD0-B355-4154-A361-8487DA709EDC}" name="Table2" displayName="Table2" ref="E36:E37" totalsRowShown="0" headerRowDxfId="50" dataDxfId="49">
  <autoFilter ref="E36:E37" xr:uid="{7D247CD0-B355-4154-A361-8487DA709EDC}"/>
  <tableColumns count="1">
    <tableColumn id="1" xr3:uid="{8395E711-F253-462F-94AE-0FD8C6A0BAE6}" name="AOV" dataDxfId="48">
      <calculatedColumnFormula>GETPIVOTDATA("[Measures].[Sum of Total Sales 3]",$B$36)/GETPIVOTDATA("[Measures].[Count of Order ID 2]",$B$36)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7A399-0C3D-498D-B1F4-08A728AEB8F4}" name="Table1" displayName="Table1" ref="H35:I43" totalsRowShown="0">
  <autoFilter ref="H35:I43" xr:uid="{1497A399-0C3D-498D-B1F4-08A728AEB8F4}"/>
  <tableColumns count="2">
    <tableColumn id="1" xr3:uid="{A69A5E47-C3F2-413F-A88A-7DB5BFD7817A}" name="State" dataDxfId="1"/>
    <tableColumn id="2" xr3:uid="{CCDDEF14-9DE2-4E84-A2D2-CF7065DE19CF}" name="Value"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D0DF00-8B3B-46E6-9AE1-43C71B3A49AD}" name="Transaction_ALL__2" displayName="Transaction_ALL__2" ref="A1:M251" tableType="queryTable" totalsRowShown="0">
  <autoFilter ref="A1:M251" xr:uid="{BDD0DF00-8B3B-46E6-9AE1-43C71B3A49AD}"/>
  <sortState xmlns:xlrd2="http://schemas.microsoft.com/office/spreadsheetml/2017/richdata2" ref="A2:M251">
    <sortCondition descending="1" ref="B1:B251"/>
  </sortState>
  <tableColumns count="13">
    <tableColumn id="14" xr3:uid="{C28B61E1-6F98-4FE2-87AD-5CA6D1A65773}" uniqueName="14" name="Order ID" queryTableFieldId="14" dataDxfId="47"/>
    <tableColumn id="15" xr3:uid="{7F697EE3-E94F-48BF-9B1C-C50E4433668F}" uniqueName="15" name="Date" queryTableFieldId="15" dataDxfId="46"/>
    <tableColumn id="16" xr3:uid="{FB56B9CF-6CBC-40EF-84F0-A290FA604F54}" uniqueName="16" name="Month" queryTableFieldId="16" dataDxfId="45"/>
    <tableColumn id="17" xr3:uid="{35AB26B5-3220-47FF-BA95-AF5D509EA290}" uniqueName="17" name="Day" queryTableFieldId="17" dataDxfId="44"/>
    <tableColumn id="18" xr3:uid="{0F5BCCCC-7859-4CD6-AE30-B8B923EC5D8A}" uniqueName="18" name="Product" queryTableFieldId="18" dataDxfId="43"/>
    <tableColumn id="19" xr3:uid="{012701EF-DBA9-4EDD-B410-243BB3A16706}" uniqueName="19" name="Category" queryTableFieldId="19" dataDxfId="42"/>
    <tableColumn id="20" xr3:uid="{7155D948-A4AB-4ABA-9C65-86CF0B958D81}" uniqueName="20" name="Price" queryTableFieldId="20"/>
    <tableColumn id="21" xr3:uid="{F80F0237-34AC-4282-9D25-FE3FDA6B66F4}" uniqueName="21" name="Quantity" queryTableFieldId="21"/>
    <tableColumn id="22" xr3:uid="{BE4E78FB-2F2D-4D49-A39A-7085F5AB86EC}" uniqueName="22" name="Total Sales" queryTableFieldId="22"/>
    <tableColumn id="23" xr3:uid="{D0D161ED-A5BF-43DC-8AEE-FE2B61A4D32B}" uniqueName="23" name="Customer Name" queryTableFieldId="23" dataDxfId="41"/>
    <tableColumn id="24" xr3:uid="{B4868547-4CAA-463A-A506-F18EAD6200D7}" uniqueName="24" name="Customer Location" queryTableFieldId="24" dataDxfId="40"/>
    <tableColumn id="25" xr3:uid="{0363C507-F57D-43FA-A333-7C16D7D93ED0}" uniqueName="25" name="Payment Method" queryTableFieldId="25" dataDxfId="39"/>
    <tableColumn id="26" xr3:uid="{2CBD3AE7-6608-41C7-9B14-45A2BF670A75}" uniqueName="26" name="Status" queryTableFieldId="26" dataDxf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ramayogas/DataAnalystProtfolio/tree/main/excel_consumer_trends_miami_paypal" TargetMode="Externa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6007-FDD3-4143-9983-400E323B2FE9}">
  <sheetPr>
    <pageSetUpPr fitToPage="1"/>
  </sheetPr>
  <dimension ref="B4:P43"/>
  <sheetViews>
    <sheetView showGridLines="0" tabSelected="1" topLeftCell="A3" zoomScale="130" zoomScaleNormal="130" workbookViewId="0">
      <selection activeCell="C6" sqref="C6"/>
    </sheetView>
  </sheetViews>
  <sheetFormatPr defaultRowHeight="15" x14ac:dyDescent="0.25"/>
  <cols>
    <col min="1" max="11" width="9.140625" style="1"/>
    <col min="12" max="12" width="17" style="1" bestFit="1" customWidth="1"/>
    <col min="13" max="16384" width="9.140625" style="1"/>
  </cols>
  <sheetData>
    <row r="4" spans="2:16" ht="36" x14ac:dyDescent="0.55000000000000004">
      <c r="B4" s="20" t="s">
        <v>339</v>
      </c>
      <c r="C4" s="20"/>
      <c r="D4" s="20"/>
      <c r="E4" s="20"/>
      <c r="F4" s="20"/>
      <c r="G4" s="20"/>
      <c r="H4" s="20"/>
      <c r="I4" s="20"/>
      <c r="J4" s="20"/>
      <c r="K4" s="20"/>
      <c r="L4" s="20"/>
      <c r="M4" s="20"/>
      <c r="N4" s="20"/>
      <c r="O4" s="20"/>
      <c r="P4" s="20"/>
    </row>
    <row r="5" spans="2:16" s="3" customFormat="1" ht="24" customHeight="1" x14ac:dyDescent="0.25">
      <c r="B5" s="21" t="s">
        <v>340</v>
      </c>
      <c r="C5" s="21"/>
      <c r="D5" s="21"/>
      <c r="E5" s="21"/>
      <c r="F5" s="21"/>
      <c r="G5" s="21"/>
      <c r="H5" s="21"/>
      <c r="I5" s="21"/>
      <c r="J5" s="21"/>
      <c r="K5" s="21"/>
      <c r="L5" s="21"/>
      <c r="M5" s="21"/>
      <c r="N5" s="21"/>
      <c r="O5" s="21"/>
      <c r="P5" s="21"/>
    </row>
    <row r="7" spans="2:16" ht="18.75" x14ac:dyDescent="0.3">
      <c r="B7" s="16" t="s">
        <v>316</v>
      </c>
      <c r="C7" s="17"/>
      <c r="D7" s="17"/>
      <c r="E7" s="17"/>
      <c r="F7" s="18"/>
      <c r="G7" s="26" t="s">
        <v>329</v>
      </c>
      <c r="H7" s="17"/>
      <c r="I7" s="17"/>
      <c r="J7" s="17"/>
      <c r="K7" s="27"/>
      <c r="L7" s="16" t="s">
        <v>330</v>
      </c>
      <c r="M7" s="17"/>
      <c r="N7" s="17"/>
      <c r="O7" s="17"/>
      <c r="P7" s="18"/>
    </row>
    <row r="8" spans="2:16" ht="28.5" x14ac:dyDescent="0.45">
      <c r="B8" s="23">
        <f>GETPIVOTDATA("[Measures].[Sum of Total Sales 3]",Data_Analyze!$B$36)</f>
        <v>88530</v>
      </c>
      <c r="C8" s="24"/>
      <c r="D8" s="24"/>
      <c r="E8" s="24"/>
      <c r="F8" s="25"/>
      <c r="G8" s="28">
        <f>GETPIVOTDATA("[Measures].[Count of Order ID 2]",Data_Analyze!$B$36)</f>
        <v>88</v>
      </c>
      <c r="H8" s="29"/>
      <c r="I8" s="29"/>
      <c r="J8" s="29"/>
      <c r="K8" s="30"/>
      <c r="L8" s="31">
        <f>Data_Analyze!$E$37</f>
        <v>1006.0227272727273</v>
      </c>
      <c r="M8" s="32"/>
      <c r="N8" s="32"/>
      <c r="O8" s="32"/>
      <c r="P8" s="33"/>
    </row>
    <row r="9" spans="2:16" ht="18.75" customHeight="1" x14ac:dyDescent="0.25">
      <c r="G9" s="22" t="s">
        <v>333</v>
      </c>
      <c r="H9" s="22"/>
      <c r="I9" s="22"/>
      <c r="J9" s="22"/>
      <c r="K9" s="22"/>
      <c r="L9" s="22"/>
      <c r="M9" s="22"/>
      <c r="N9" s="22"/>
      <c r="O9" s="22"/>
      <c r="P9" s="22"/>
    </row>
    <row r="10" spans="2:16" ht="28.5" customHeight="1" x14ac:dyDescent="0.25"/>
    <row r="28" spans="2:16" ht="18.75" x14ac:dyDescent="0.3">
      <c r="B28" s="16" t="s">
        <v>332</v>
      </c>
      <c r="C28" s="17"/>
      <c r="D28" s="17"/>
      <c r="E28" s="17"/>
      <c r="F28" s="18"/>
    </row>
    <row r="29" spans="2:16" ht="28.5" x14ac:dyDescent="0.45">
      <c r="B29" s="19" t="str">
        <f>Data_Analyze!$H$21</f>
        <v>PayPal</v>
      </c>
      <c r="C29" s="19"/>
      <c r="D29" s="19"/>
      <c r="E29" s="19"/>
      <c r="F29" s="19"/>
    </row>
    <row r="30" spans="2:16" ht="18.75" x14ac:dyDescent="0.3">
      <c r="L30" s="45" t="s">
        <v>334</v>
      </c>
      <c r="M30" s="46"/>
      <c r="N30" s="46"/>
      <c r="O30" s="46"/>
      <c r="P30" s="47"/>
    </row>
    <row r="31" spans="2:16" ht="28.5" customHeight="1" x14ac:dyDescent="0.25">
      <c r="L31" s="48" t="str">
        <f>Data_Analyze!$N$5</f>
        <v>Smartwatch</v>
      </c>
      <c r="M31" s="49"/>
      <c r="N31" s="49"/>
      <c r="O31" s="49"/>
      <c r="P31" s="50"/>
    </row>
    <row r="32" spans="2:16" ht="15" customHeight="1" x14ac:dyDescent="0.25">
      <c r="L32" s="51"/>
      <c r="M32" s="40"/>
      <c r="N32" s="40"/>
      <c r="O32" s="40"/>
      <c r="P32" s="52"/>
    </row>
    <row r="33" spans="12:16" ht="15" customHeight="1" x14ac:dyDescent="0.25">
      <c r="L33" s="51"/>
      <c r="M33" s="40"/>
      <c r="N33" s="40"/>
      <c r="O33" s="40"/>
      <c r="P33" s="52"/>
    </row>
    <row r="34" spans="12:16" ht="15" customHeight="1" x14ac:dyDescent="0.25">
      <c r="L34" s="51"/>
      <c r="M34" s="40"/>
      <c r="N34" s="40"/>
      <c r="O34" s="40"/>
      <c r="P34" s="52"/>
    </row>
    <row r="35" spans="12:16" ht="15" customHeight="1" x14ac:dyDescent="0.25">
      <c r="L35" s="53"/>
      <c r="M35" s="54"/>
      <c r="N35" s="54"/>
      <c r="O35" s="54"/>
      <c r="P35" s="55"/>
    </row>
    <row r="36" spans="12:16" ht="15" customHeight="1" x14ac:dyDescent="0.25">
      <c r="L36" s="39" t="str">
        <f>Data_Analyze!$N$6</f>
        <v>Smartphone</v>
      </c>
      <c r="M36" s="40"/>
      <c r="N36" s="40"/>
      <c r="O36" s="40"/>
      <c r="P36" s="41"/>
    </row>
    <row r="37" spans="12:16" ht="15" customHeight="1" x14ac:dyDescent="0.25">
      <c r="L37" s="39"/>
      <c r="M37" s="40"/>
      <c r="N37" s="40"/>
      <c r="O37" s="40"/>
      <c r="P37" s="41"/>
    </row>
    <row r="38" spans="12:16" ht="15" customHeight="1" x14ac:dyDescent="0.25">
      <c r="L38" s="42"/>
      <c r="M38" s="43"/>
      <c r="N38" s="43"/>
      <c r="O38" s="43"/>
      <c r="P38" s="44"/>
    </row>
    <row r="39" spans="12:16" ht="15" customHeight="1" x14ac:dyDescent="0.25">
      <c r="L39" s="36" t="str">
        <f>Data_Analyze!$N$7</f>
        <v>Laptop</v>
      </c>
      <c r="M39" s="37"/>
      <c r="N39" s="37"/>
      <c r="O39" s="37"/>
      <c r="P39" s="38"/>
    </row>
    <row r="40" spans="12:16" ht="15" customHeight="1" x14ac:dyDescent="0.25">
      <c r="L40" s="39"/>
      <c r="M40" s="40"/>
      <c r="N40" s="40"/>
      <c r="O40" s="40"/>
      <c r="P40" s="41"/>
    </row>
    <row r="41" spans="12:16" ht="15" customHeight="1" x14ac:dyDescent="0.25">
      <c r="L41" s="42"/>
      <c r="M41" s="43"/>
      <c r="N41" s="43"/>
      <c r="O41" s="43"/>
      <c r="P41" s="44"/>
    </row>
    <row r="42" spans="12:16" ht="18.75" x14ac:dyDescent="0.3">
      <c r="L42" s="16" t="s">
        <v>335</v>
      </c>
      <c r="M42" s="17"/>
      <c r="N42" s="17"/>
      <c r="O42" s="17"/>
      <c r="P42" s="18"/>
    </row>
    <row r="43" spans="12:16" ht="28.5" x14ac:dyDescent="0.45">
      <c r="L43" s="19" t="str">
        <f>Data_Analyze!$E$21</f>
        <v>Emma Clark</v>
      </c>
      <c r="M43" s="19"/>
      <c r="N43" s="19"/>
      <c r="O43" s="19"/>
      <c r="P43" s="19"/>
    </row>
  </sheetData>
  <mergeCells count="17">
    <mergeCell ref="B4:P4"/>
    <mergeCell ref="B5:P5"/>
    <mergeCell ref="G9:P9"/>
    <mergeCell ref="B7:F7"/>
    <mergeCell ref="B8:F8"/>
    <mergeCell ref="G7:K7"/>
    <mergeCell ref="G8:K8"/>
    <mergeCell ref="L7:P7"/>
    <mergeCell ref="L8:P8"/>
    <mergeCell ref="L30:P30"/>
    <mergeCell ref="L42:P42"/>
    <mergeCell ref="L43:P43"/>
    <mergeCell ref="B28:F28"/>
    <mergeCell ref="B29:F29"/>
    <mergeCell ref="L39:P41"/>
    <mergeCell ref="L36:P38"/>
    <mergeCell ref="L31:P35"/>
  </mergeCells>
  <hyperlinks>
    <hyperlink ref="B5" r:id="rId1" xr:uid="{9898FD56-F9DA-49E0-99C5-F847EAC78FC3}"/>
  </hyperlinks>
  <pageMargins left="0.23622047244094491" right="0.23622047244094491" top="0.74803149606299213" bottom="0.74803149606299213" header="0.31496062992125984" footer="0.31496062992125984"/>
  <pageSetup scale="65" orientation="portrait" horizontalDpi="203" verticalDpi="203"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232EC-7159-47CD-BFD9-3687C0FF4578}">
  <dimension ref="A2:P43"/>
  <sheetViews>
    <sheetView showGridLines="0" topLeftCell="A13" zoomScale="85" zoomScaleNormal="85" workbookViewId="0">
      <selection activeCell="H35" sqref="H35:I43"/>
    </sheetView>
  </sheetViews>
  <sheetFormatPr defaultRowHeight="15" x14ac:dyDescent="0.25"/>
  <cols>
    <col min="2" max="2" width="17.28515625" bestFit="1" customWidth="1"/>
    <col min="3" max="3" width="22.140625" bestFit="1" customWidth="1"/>
    <col min="5" max="5" width="25.42578125" bestFit="1" customWidth="1"/>
    <col min="6" max="6" width="8.140625" bestFit="1" customWidth="1"/>
    <col min="7" max="7" width="22.7109375" bestFit="1" customWidth="1"/>
    <col min="8" max="8" width="27.5703125" bestFit="1" customWidth="1"/>
    <col min="9" max="9" width="25.140625" customWidth="1"/>
    <col min="10" max="10" width="22.140625" bestFit="1" customWidth="1"/>
    <col min="11" max="11" width="21.5703125" bestFit="1" customWidth="1"/>
    <col min="12" max="12" width="17.28515625" bestFit="1" customWidth="1"/>
    <col min="14" max="14" width="16.7109375" bestFit="1" customWidth="1"/>
    <col min="15" max="15" width="20" bestFit="1" customWidth="1"/>
    <col min="16" max="16" width="16.5703125" bestFit="1" customWidth="1"/>
  </cols>
  <sheetData>
    <row r="2" spans="2:15" ht="15.75" x14ac:dyDescent="0.25">
      <c r="B2" s="4"/>
      <c r="C2" s="4"/>
      <c r="D2" s="4"/>
      <c r="E2" s="4"/>
      <c r="F2" s="4"/>
      <c r="G2" s="4"/>
    </row>
    <row r="3" spans="2:15" ht="18.75" x14ac:dyDescent="0.3">
      <c r="B3" s="34" t="s">
        <v>341</v>
      </c>
      <c r="C3" s="35"/>
      <c r="D3" s="5"/>
      <c r="E3" s="34" t="s">
        <v>342</v>
      </c>
      <c r="F3" s="34"/>
      <c r="G3" s="34"/>
      <c r="H3" s="5"/>
      <c r="I3" s="34" t="s">
        <v>343</v>
      </c>
      <c r="J3" s="34"/>
      <c r="K3" s="34"/>
      <c r="L3" s="34"/>
      <c r="M3" s="5"/>
      <c r="N3" s="34" t="s">
        <v>348</v>
      </c>
      <c r="O3" s="35"/>
    </row>
    <row r="4" spans="2:15" ht="18.75" x14ac:dyDescent="0.3">
      <c r="B4" s="7" t="s">
        <v>304</v>
      </c>
      <c r="C4" s="8" t="s">
        <v>303</v>
      </c>
      <c r="D4" s="8"/>
      <c r="E4" s="7" t="s">
        <v>320</v>
      </c>
      <c r="F4" s="7" t="s">
        <v>321</v>
      </c>
      <c r="G4" s="8" t="s">
        <v>303</v>
      </c>
      <c r="H4" s="8"/>
      <c r="I4" s="7" t="s">
        <v>312</v>
      </c>
      <c r="J4" s="7" t="s">
        <v>303</v>
      </c>
      <c r="K4" s="8" t="s">
        <v>307</v>
      </c>
      <c r="L4" s="8" t="s">
        <v>338</v>
      </c>
      <c r="M4" s="8"/>
      <c r="N4" s="7" t="s">
        <v>304</v>
      </c>
      <c r="O4" s="8" t="s">
        <v>306</v>
      </c>
    </row>
    <row r="5" spans="2:15" x14ac:dyDescent="0.25">
      <c r="B5" s="9" t="s">
        <v>17</v>
      </c>
      <c r="C5" s="10">
        <v>40865</v>
      </c>
      <c r="D5" s="10"/>
      <c r="E5" s="10" t="s">
        <v>326</v>
      </c>
      <c r="F5" s="10"/>
      <c r="G5" s="58">
        <v>17480</v>
      </c>
      <c r="H5" s="10"/>
      <c r="I5" s="10" t="s">
        <v>40</v>
      </c>
      <c r="J5" s="10">
        <v>22000</v>
      </c>
      <c r="K5" s="10">
        <v>14</v>
      </c>
      <c r="L5" s="11">
        <v>0.24850333220377274</v>
      </c>
      <c r="M5" s="10"/>
      <c r="N5" s="9" t="s">
        <v>29</v>
      </c>
      <c r="O5" s="10">
        <v>46</v>
      </c>
    </row>
    <row r="6" spans="2:15" x14ac:dyDescent="0.25">
      <c r="B6" s="9" t="s">
        <v>1</v>
      </c>
      <c r="C6" s="10">
        <v>45145</v>
      </c>
      <c r="D6" s="10"/>
      <c r="E6" s="10" t="s">
        <v>325</v>
      </c>
      <c r="F6" s="10" t="s">
        <v>20</v>
      </c>
      <c r="G6" s="58">
        <v>10370</v>
      </c>
      <c r="H6" s="10"/>
      <c r="I6" s="10" t="s">
        <v>29</v>
      </c>
      <c r="J6" s="10">
        <v>6900</v>
      </c>
      <c r="K6" s="10">
        <v>14</v>
      </c>
      <c r="L6" s="11">
        <v>7.7939681463910546E-2</v>
      </c>
      <c r="M6" s="10"/>
      <c r="N6" s="9" t="s">
        <v>40</v>
      </c>
      <c r="O6" s="10">
        <v>44</v>
      </c>
    </row>
    <row r="7" spans="2:15" x14ac:dyDescent="0.25">
      <c r="B7" s="9" t="s">
        <v>65</v>
      </c>
      <c r="C7" s="10">
        <v>2520</v>
      </c>
      <c r="D7" s="10"/>
      <c r="E7" s="10" t="s">
        <v>327</v>
      </c>
      <c r="F7" s="10" t="s">
        <v>42</v>
      </c>
      <c r="G7" s="58">
        <v>11680</v>
      </c>
      <c r="H7" s="10"/>
      <c r="I7" s="10" t="s">
        <v>3</v>
      </c>
      <c r="J7" s="10">
        <v>1620</v>
      </c>
      <c r="K7" s="10">
        <v>10</v>
      </c>
      <c r="L7" s="11">
        <v>1.8298881735005084E-2</v>
      </c>
      <c r="M7" s="10"/>
      <c r="N7" s="9" t="s">
        <v>54</v>
      </c>
      <c r="O7" s="10">
        <v>32</v>
      </c>
    </row>
    <row r="8" spans="2:15" x14ac:dyDescent="0.25">
      <c r="B8" s="9" t="s">
        <v>305</v>
      </c>
      <c r="C8" s="10">
        <v>88530</v>
      </c>
      <c r="D8" s="10"/>
      <c r="E8" s="10" t="s">
        <v>323</v>
      </c>
      <c r="F8" s="10" t="s">
        <v>80</v>
      </c>
      <c r="G8" s="58">
        <v>7320</v>
      </c>
      <c r="H8" s="10"/>
      <c r="I8" s="10" t="s">
        <v>31</v>
      </c>
      <c r="J8" s="10">
        <v>560</v>
      </c>
      <c r="K8" s="10">
        <v>9</v>
      </c>
      <c r="L8" s="11">
        <v>6.3255393651869421E-3</v>
      </c>
      <c r="M8" s="10"/>
      <c r="N8" s="9" t="s">
        <v>31</v>
      </c>
      <c r="O8" s="10">
        <v>28</v>
      </c>
    </row>
    <row r="9" spans="2:15" x14ac:dyDescent="0.25">
      <c r="B9" s="10"/>
      <c r="C9" s="10"/>
      <c r="D9" s="10"/>
      <c r="E9" s="10" t="s">
        <v>322</v>
      </c>
      <c r="F9" s="10" t="s">
        <v>44</v>
      </c>
      <c r="G9" s="58">
        <v>7475</v>
      </c>
      <c r="H9" s="10"/>
      <c r="I9" s="10" t="s">
        <v>54</v>
      </c>
      <c r="J9" s="10">
        <v>25600</v>
      </c>
      <c r="K9" s="10">
        <v>9</v>
      </c>
      <c r="L9" s="11">
        <v>0.28916751383711736</v>
      </c>
      <c r="M9" s="10"/>
      <c r="N9" s="9" t="s">
        <v>3</v>
      </c>
      <c r="O9" s="10">
        <v>27</v>
      </c>
    </row>
    <row r="10" spans="2:15" x14ac:dyDescent="0.25">
      <c r="B10" s="10"/>
      <c r="C10" s="10"/>
      <c r="D10" s="10"/>
      <c r="E10" s="10" t="s">
        <v>6</v>
      </c>
      <c r="F10" s="10"/>
      <c r="G10" s="58">
        <v>5490</v>
      </c>
      <c r="H10" s="10"/>
      <c r="I10" s="10" t="s">
        <v>63</v>
      </c>
      <c r="J10" s="10">
        <v>22800</v>
      </c>
      <c r="K10" s="10">
        <v>9</v>
      </c>
      <c r="L10" s="11">
        <v>0.25753981701118267</v>
      </c>
      <c r="M10" s="10"/>
      <c r="N10" s="9" t="s">
        <v>51</v>
      </c>
      <c r="O10" s="10">
        <v>21</v>
      </c>
    </row>
    <row r="11" spans="2:15" x14ac:dyDescent="0.25">
      <c r="B11" s="10"/>
      <c r="C11" s="10"/>
      <c r="D11" s="10"/>
      <c r="E11" s="10" t="s">
        <v>324</v>
      </c>
      <c r="F11" s="10"/>
      <c r="G11" s="58">
        <v>19290</v>
      </c>
      <c r="H11" s="10"/>
      <c r="I11" s="10" t="s">
        <v>11</v>
      </c>
      <c r="J11" s="10">
        <v>1400</v>
      </c>
      <c r="K11" s="10">
        <v>7</v>
      </c>
      <c r="L11" s="11">
        <v>1.5813848412967357E-2</v>
      </c>
      <c r="M11" s="10"/>
      <c r="N11" s="9" t="s">
        <v>63</v>
      </c>
      <c r="O11" s="10">
        <v>19</v>
      </c>
    </row>
    <row r="12" spans="2:15" x14ac:dyDescent="0.25">
      <c r="B12" s="10"/>
      <c r="C12" s="10"/>
      <c r="D12" s="10"/>
      <c r="E12" s="10" t="s">
        <v>328</v>
      </c>
      <c r="F12" s="10" t="s">
        <v>61</v>
      </c>
      <c r="G12" s="58">
        <v>9425</v>
      </c>
      <c r="H12" s="10"/>
      <c r="I12" s="10" t="s">
        <v>51</v>
      </c>
      <c r="J12" s="10">
        <v>840</v>
      </c>
      <c r="K12" s="10">
        <v>6</v>
      </c>
      <c r="L12" s="11">
        <v>9.4883090477804136E-3</v>
      </c>
      <c r="M12" s="10"/>
      <c r="N12" s="9" t="s">
        <v>11</v>
      </c>
      <c r="O12" s="10">
        <v>14</v>
      </c>
    </row>
    <row r="13" spans="2:15" x14ac:dyDescent="0.25">
      <c r="B13" s="10"/>
      <c r="C13" s="10"/>
      <c r="D13" s="10"/>
      <c r="E13" s="10" t="s">
        <v>305</v>
      </c>
      <c r="F13" s="10"/>
      <c r="G13" s="58">
        <v>88530</v>
      </c>
      <c r="H13" s="10"/>
      <c r="I13" s="10" t="s">
        <v>47</v>
      </c>
      <c r="J13" s="10">
        <v>210</v>
      </c>
      <c r="K13" s="10">
        <v>6</v>
      </c>
      <c r="L13" s="11">
        <v>2.3720772619451034E-3</v>
      </c>
      <c r="M13" s="10"/>
      <c r="N13" s="9" t="s">
        <v>47</v>
      </c>
      <c r="O13" s="10">
        <v>14</v>
      </c>
    </row>
    <row r="14" spans="2:15" x14ac:dyDescent="0.25">
      <c r="B14" s="10"/>
      <c r="C14" s="10"/>
      <c r="D14" s="10"/>
      <c r="H14" s="10"/>
      <c r="I14" s="10" t="s">
        <v>58</v>
      </c>
      <c r="J14" s="10">
        <v>6600</v>
      </c>
      <c r="K14" s="10">
        <v>4</v>
      </c>
      <c r="L14" s="11">
        <v>7.4550999661131823E-2</v>
      </c>
      <c r="M14" s="10"/>
      <c r="N14" s="9" t="s">
        <v>58</v>
      </c>
      <c r="O14" s="10">
        <v>11</v>
      </c>
    </row>
    <row r="15" spans="2:15" x14ac:dyDescent="0.25">
      <c r="B15" s="10"/>
      <c r="C15" s="10"/>
      <c r="D15" s="10"/>
      <c r="H15" s="10"/>
      <c r="I15" s="10" t="s">
        <v>305</v>
      </c>
      <c r="J15" s="10">
        <v>88530</v>
      </c>
      <c r="K15" s="10">
        <v>88</v>
      </c>
      <c r="L15" s="11">
        <v>1</v>
      </c>
      <c r="M15" s="10"/>
      <c r="N15" s="9" t="s">
        <v>305</v>
      </c>
      <c r="O15" s="10">
        <v>256</v>
      </c>
    </row>
    <row r="19" spans="1:16" ht="18.75" x14ac:dyDescent="0.3">
      <c r="B19" s="34" t="s">
        <v>344</v>
      </c>
      <c r="C19" s="35"/>
      <c r="D19" s="5"/>
      <c r="E19" s="34" t="s">
        <v>345</v>
      </c>
      <c r="F19" s="35"/>
      <c r="G19" s="5"/>
      <c r="H19" s="34" t="s">
        <v>346</v>
      </c>
      <c r="I19" s="35"/>
      <c r="J19" s="5"/>
      <c r="K19" s="34" t="s">
        <v>347</v>
      </c>
      <c r="L19" s="35"/>
      <c r="M19" s="5"/>
      <c r="N19" s="34" t="s">
        <v>349</v>
      </c>
      <c r="O19" s="35"/>
      <c r="P19" s="35"/>
    </row>
    <row r="20" spans="1:16" x14ac:dyDescent="0.25">
      <c r="A20" s="10"/>
      <c r="B20" s="12" t="s">
        <v>304</v>
      </c>
      <c r="C20" s="10" t="s">
        <v>303</v>
      </c>
      <c r="D20" s="10"/>
      <c r="E20" s="12" t="s">
        <v>304</v>
      </c>
      <c r="F20" s="10" t="s">
        <v>306</v>
      </c>
      <c r="G20" s="10"/>
      <c r="H20" s="12" t="s">
        <v>337</v>
      </c>
      <c r="I20" s="10" t="s">
        <v>306</v>
      </c>
      <c r="J20" s="10"/>
      <c r="K20" s="12" t="s">
        <v>304</v>
      </c>
      <c r="L20" s="10" t="s">
        <v>303</v>
      </c>
      <c r="M20" s="10"/>
      <c r="N20" s="12" t="s">
        <v>311</v>
      </c>
      <c r="O20" s="12" t="s">
        <v>303</v>
      </c>
      <c r="P20" s="10" t="s">
        <v>307</v>
      </c>
    </row>
    <row r="21" spans="1:16" x14ac:dyDescent="0.25">
      <c r="A21" s="10"/>
      <c r="B21" s="9" t="s">
        <v>5</v>
      </c>
      <c r="C21" s="10">
        <v>20720</v>
      </c>
      <c r="D21" s="10"/>
      <c r="E21" s="9" t="s">
        <v>5</v>
      </c>
      <c r="F21" s="10">
        <v>54</v>
      </c>
      <c r="G21" s="10"/>
      <c r="H21" s="9" t="s">
        <v>36</v>
      </c>
      <c r="I21" s="10">
        <v>90</v>
      </c>
      <c r="J21" s="10"/>
      <c r="K21" s="9" t="s">
        <v>36</v>
      </c>
      <c r="L21" s="13">
        <v>35170</v>
      </c>
      <c r="M21" s="10"/>
      <c r="N21" s="9" t="s">
        <v>39</v>
      </c>
      <c r="O21" s="13">
        <v>20465</v>
      </c>
      <c r="P21" s="10">
        <v>15</v>
      </c>
    </row>
    <row r="22" spans="1:16" x14ac:dyDescent="0.25">
      <c r="A22" s="10"/>
      <c r="B22" s="9" t="s">
        <v>19</v>
      </c>
      <c r="C22" s="10">
        <v>15285</v>
      </c>
      <c r="D22" s="10"/>
      <c r="E22" s="9" t="s">
        <v>52</v>
      </c>
      <c r="F22" s="10">
        <v>35</v>
      </c>
      <c r="G22" s="10"/>
      <c r="H22" s="9" t="s">
        <v>21</v>
      </c>
      <c r="I22" s="10">
        <v>62</v>
      </c>
      <c r="J22" s="10"/>
      <c r="K22" s="9" t="s">
        <v>21</v>
      </c>
      <c r="L22" s="13">
        <v>17815</v>
      </c>
      <c r="M22" s="10"/>
      <c r="N22" s="9" t="s">
        <v>28</v>
      </c>
      <c r="O22" s="13">
        <v>14295</v>
      </c>
      <c r="P22" s="10">
        <v>15</v>
      </c>
    </row>
    <row r="23" spans="1:16" x14ac:dyDescent="0.25">
      <c r="A23" s="10"/>
      <c r="B23" s="9" t="s">
        <v>24</v>
      </c>
      <c r="C23" s="10">
        <v>13460</v>
      </c>
      <c r="D23" s="10"/>
      <c r="E23" s="9" t="s">
        <v>19</v>
      </c>
      <c r="F23" s="10">
        <v>32</v>
      </c>
      <c r="G23" s="10"/>
      <c r="H23" s="9" t="s">
        <v>7</v>
      </c>
      <c r="I23" s="10">
        <v>44</v>
      </c>
      <c r="J23" s="10"/>
      <c r="K23" s="9" t="s">
        <v>26</v>
      </c>
      <c r="L23" s="13">
        <v>16015</v>
      </c>
      <c r="M23" s="10"/>
      <c r="N23" s="9" t="s">
        <v>23</v>
      </c>
      <c r="O23" s="13">
        <v>13760</v>
      </c>
      <c r="P23" s="10">
        <v>12</v>
      </c>
    </row>
    <row r="24" spans="1:16" x14ac:dyDescent="0.25">
      <c r="A24" s="10"/>
      <c r="B24" s="9" t="s">
        <v>52</v>
      </c>
      <c r="C24" s="10">
        <v>9905</v>
      </c>
      <c r="D24" s="10"/>
      <c r="E24" s="9" t="s">
        <v>24</v>
      </c>
      <c r="F24" s="10">
        <v>29</v>
      </c>
      <c r="G24" s="10"/>
      <c r="H24" s="9" t="s">
        <v>26</v>
      </c>
      <c r="I24" s="10">
        <v>43</v>
      </c>
      <c r="J24" s="10"/>
      <c r="K24" s="9" t="s">
        <v>7</v>
      </c>
      <c r="L24" s="13">
        <v>11540</v>
      </c>
      <c r="M24" s="10"/>
      <c r="N24" s="9" t="s">
        <v>10</v>
      </c>
      <c r="O24" s="13">
        <v>12865</v>
      </c>
      <c r="P24" s="10">
        <v>14</v>
      </c>
    </row>
    <row r="25" spans="1:16" x14ac:dyDescent="0.25">
      <c r="A25" s="10"/>
      <c r="B25" s="9" t="s">
        <v>13</v>
      </c>
      <c r="C25" s="10">
        <v>9855</v>
      </c>
      <c r="D25" s="10"/>
      <c r="E25" s="9" t="s">
        <v>13</v>
      </c>
      <c r="F25" s="10">
        <v>29</v>
      </c>
      <c r="G25" s="10"/>
      <c r="H25" s="9" t="s">
        <v>56</v>
      </c>
      <c r="I25" s="10">
        <v>17</v>
      </c>
      <c r="J25" s="10"/>
      <c r="K25" s="9" t="s">
        <v>56</v>
      </c>
      <c r="L25" s="13">
        <v>7990</v>
      </c>
      <c r="M25" s="10"/>
      <c r="N25" s="9" t="s">
        <v>34</v>
      </c>
      <c r="O25" s="13">
        <v>11630</v>
      </c>
      <c r="P25" s="10">
        <v>10</v>
      </c>
    </row>
    <row r="26" spans="1:16" x14ac:dyDescent="0.25">
      <c r="A26" s="10"/>
      <c r="B26" s="9" t="s">
        <v>79</v>
      </c>
      <c r="C26" s="10">
        <v>7250</v>
      </c>
      <c r="D26" s="10"/>
      <c r="E26" s="9" t="s">
        <v>41</v>
      </c>
      <c r="F26" s="10">
        <v>18</v>
      </c>
      <c r="G26" s="10"/>
      <c r="H26" s="9" t="s">
        <v>305</v>
      </c>
      <c r="I26" s="10">
        <v>256</v>
      </c>
      <c r="J26" s="10"/>
      <c r="K26" s="9" t="s">
        <v>305</v>
      </c>
      <c r="L26" s="10">
        <v>88530</v>
      </c>
      <c r="M26" s="10"/>
      <c r="N26" s="9" t="s">
        <v>2</v>
      </c>
      <c r="O26" s="13">
        <v>10925</v>
      </c>
      <c r="P26" s="10">
        <v>12</v>
      </c>
    </row>
    <row r="27" spans="1:16" x14ac:dyDescent="0.25">
      <c r="A27" s="10"/>
      <c r="B27" s="9" t="s">
        <v>49</v>
      </c>
      <c r="C27" s="10">
        <v>4550</v>
      </c>
      <c r="D27" s="10"/>
      <c r="E27" s="9" t="s">
        <v>79</v>
      </c>
      <c r="F27" s="10">
        <v>17</v>
      </c>
      <c r="G27" s="10"/>
      <c r="H27" s="10"/>
      <c r="I27" s="10"/>
      <c r="J27" s="10"/>
      <c r="K27" s="10"/>
      <c r="L27" s="10"/>
      <c r="M27" s="10"/>
      <c r="N27" s="9" t="s">
        <v>18</v>
      </c>
      <c r="O27" s="13">
        <v>4590</v>
      </c>
      <c r="P27" s="10">
        <v>10</v>
      </c>
    </row>
    <row r="28" spans="1:16" x14ac:dyDescent="0.25">
      <c r="A28" s="10"/>
      <c r="B28" s="9" t="s">
        <v>41</v>
      </c>
      <c r="C28" s="10">
        <v>2725</v>
      </c>
      <c r="D28" s="10"/>
      <c r="E28" s="9" t="s">
        <v>71</v>
      </c>
      <c r="F28" s="10">
        <v>16</v>
      </c>
      <c r="G28" s="10"/>
      <c r="H28" s="10"/>
      <c r="I28" s="10"/>
      <c r="J28" s="10"/>
      <c r="K28" s="10"/>
      <c r="L28" s="10"/>
      <c r="M28" s="10"/>
      <c r="N28" s="9" t="s">
        <v>305</v>
      </c>
      <c r="O28" s="13">
        <v>88530</v>
      </c>
      <c r="P28" s="10">
        <v>88</v>
      </c>
    </row>
    <row r="29" spans="1:16" x14ac:dyDescent="0.25">
      <c r="A29" s="10"/>
      <c r="B29" s="9" t="s">
        <v>55</v>
      </c>
      <c r="C29" s="10">
        <v>2670</v>
      </c>
      <c r="D29" s="10"/>
      <c r="E29" s="9" t="s">
        <v>55</v>
      </c>
      <c r="F29" s="10">
        <v>16</v>
      </c>
      <c r="G29" s="10"/>
      <c r="H29" s="10"/>
      <c r="I29" s="10"/>
      <c r="J29" s="10"/>
      <c r="K29" s="10"/>
      <c r="L29" s="10"/>
      <c r="M29" s="10"/>
      <c r="N29" s="10"/>
      <c r="O29" s="10"/>
      <c r="P29" s="10"/>
    </row>
    <row r="30" spans="1:16" x14ac:dyDescent="0.25">
      <c r="A30" s="10"/>
      <c r="B30" s="9" t="s">
        <v>71</v>
      </c>
      <c r="C30" s="10">
        <v>2110</v>
      </c>
      <c r="D30" s="10"/>
      <c r="E30" s="9" t="s">
        <v>49</v>
      </c>
      <c r="F30" s="10">
        <v>10</v>
      </c>
      <c r="G30" s="10"/>
      <c r="H30" s="10"/>
      <c r="I30" s="10"/>
      <c r="J30" s="10"/>
      <c r="K30" s="10"/>
      <c r="L30" s="10"/>
      <c r="M30" s="10"/>
      <c r="N30" s="10"/>
      <c r="O30" s="10"/>
      <c r="P30" s="10"/>
    </row>
    <row r="31" spans="1:16" x14ac:dyDescent="0.25">
      <c r="A31" s="10"/>
      <c r="B31" s="9" t="s">
        <v>305</v>
      </c>
      <c r="C31" s="10">
        <v>88530</v>
      </c>
      <c r="D31" s="10"/>
      <c r="E31" s="9" t="s">
        <v>305</v>
      </c>
      <c r="F31" s="10">
        <v>256</v>
      </c>
      <c r="G31" s="10"/>
      <c r="H31" s="10"/>
      <c r="I31" s="10"/>
      <c r="J31" s="10"/>
      <c r="K31" s="10"/>
      <c r="L31" s="10"/>
      <c r="M31" s="10"/>
      <c r="N31" s="10"/>
      <c r="O31" s="10"/>
      <c r="P31" s="10"/>
    </row>
    <row r="33" spans="1:10" x14ac:dyDescent="0.25">
      <c r="I33" s="10"/>
      <c r="J33" s="10"/>
    </row>
    <row r="34" spans="1:10" x14ac:dyDescent="0.25">
      <c r="I34" s="10"/>
      <c r="J34" s="10"/>
    </row>
    <row r="35" spans="1:10" ht="18.75" x14ac:dyDescent="0.3">
      <c r="B35" s="34" t="s">
        <v>350</v>
      </c>
      <c r="C35" s="35"/>
      <c r="D35" s="5"/>
      <c r="E35" s="6" t="s">
        <v>330</v>
      </c>
      <c r="H35" t="s">
        <v>320</v>
      </c>
      <c r="I35" t="s">
        <v>359</v>
      </c>
      <c r="J35" s="10"/>
    </row>
    <row r="36" spans="1:10" x14ac:dyDescent="0.25">
      <c r="A36" s="10"/>
      <c r="B36" s="10" t="s">
        <v>303</v>
      </c>
      <c r="C36" s="10" t="s">
        <v>307</v>
      </c>
      <c r="D36" s="10"/>
      <c r="E36" s="15" t="s">
        <v>331</v>
      </c>
      <c r="H36" s="56" t="s">
        <v>351</v>
      </c>
      <c r="I36" s="58">
        <v>17480</v>
      </c>
      <c r="J36" s="10"/>
    </row>
    <row r="37" spans="1:10" x14ac:dyDescent="0.25">
      <c r="A37" s="10"/>
      <c r="B37" s="10">
        <v>88530</v>
      </c>
      <c r="C37" s="10">
        <v>88</v>
      </c>
      <c r="D37" s="10"/>
      <c r="E37" s="14">
        <f>GETPIVOTDATA("[Measures].[Sum of Total Sales 3]",$B$36)/GETPIVOTDATA("[Measures].[Count of Order ID 2]",$B$36)</f>
        <v>1006.0227272727273</v>
      </c>
      <c r="H37" s="57" t="s">
        <v>352</v>
      </c>
      <c r="I37" s="58">
        <v>10370</v>
      </c>
      <c r="J37" s="10"/>
    </row>
    <row r="38" spans="1:10" x14ac:dyDescent="0.25">
      <c r="H38" s="57" t="s">
        <v>353</v>
      </c>
      <c r="I38" s="58">
        <v>11680</v>
      </c>
      <c r="J38" s="10"/>
    </row>
    <row r="39" spans="1:10" x14ac:dyDescent="0.25">
      <c r="H39" s="57" t="s">
        <v>354</v>
      </c>
      <c r="I39" s="58">
        <v>7320</v>
      </c>
      <c r="J39" s="10"/>
    </row>
    <row r="40" spans="1:10" x14ac:dyDescent="0.25">
      <c r="H40" s="57" t="s">
        <v>355</v>
      </c>
      <c r="I40" s="58">
        <v>7475</v>
      </c>
      <c r="J40" s="10"/>
    </row>
    <row r="41" spans="1:10" x14ac:dyDescent="0.25">
      <c r="H41" s="57" t="s">
        <v>356</v>
      </c>
      <c r="I41" s="58">
        <v>5490</v>
      </c>
      <c r="J41" s="10"/>
    </row>
    <row r="42" spans="1:10" x14ac:dyDescent="0.25">
      <c r="H42" s="56" t="s">
        <v>357</v>
      </c>
      <c r="I42" s="58">
        <v>19290</v>
      </c>
      <c r="J42" s="10"/>
    </row>
    <row r="43" spans="1:10" x14ac:dyDescent="0.25">
      <c r="H43" s="57" t="s">
        <v>358</v>
      </c>
      <c r="I43" s="58">
        <v>9425</v>
      </c>
    </row>
  </sheetData>
  <mergeCells count="10">
    <mergeCell ref="N3:O3"/>
    <mergeCell ref="N19:P19"/>
    <mergeCell ref="B35:C35"/>
    <mergeCell ref="B3:C3"/>
    <mergeCell ref="E3:G3"/>
    <mergeCell ref="I3:L3"/>
    <mergeCell ref="B19:C19"/>
    <mergeCell ref="E19:F19"/>
    <mergeCell ref="H19:I19"/>
    <mergeCell ref="K19:L19"/>
  </mergeCells>
  <conditionalFormatting pivot="1" sqref="L5:L14">
    <cfRule type="top10" dxfId="3" priority="2" rank="1"/>
  </conditionalFormatting>
  <conditionalFormatting pivot="1" sqref="L5:L14">
    <cfRule type="top10" dxfId="2" priority="1" bottom="1" rank="1"/>
  </conditionalFormatting>
  <pageMargins left="0.7" right="0.7" top="0.75" bottom="0.75" header="0.3" footer="0.3"/>
  <tableParts count="2">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B9F3-2461-435F-9F88-3DB63F35C3F5}">
  <dimension ref="A1:M251"/>
  <sheetViews>
    <sheetView workbookViewId="0">
      <selection activeCell="I251" activeCellId="1" sqref="K2:K251 I2:I251"/>
    </sheetView>
  </sheetViews>
  <sheetFormatPr defaultRowHeight="15" x14ac:dyDescent="0.25"/>
  <cols>
    <col min="1" max="2" width="10.7109375" bestFit="1" customWidth="1"/>
    <col min="3" max="3" width="9.28515625" bestFit="1" customWidth="1"/>
    <col min="4" max="4" width="11.42578125" bestFit="1" customWidth="1"/>
    <col min="5" max="5" width="16.7109375" bestFit="1" customWidth="1"/>
    <col min="6" max="6" width="16.5703125" bestFit="1" customWidth="1"/>
    <col min="7" max="7" width="7.7109375" bestFit="1" customWidth="1"/>
    <col min="8" max="8" width="11" bestFit="1" customWidth="1"/>
    <col min="9" max="9" width="12.7109375" bestFit="1" customWidth="1"/>
    <col min="10" max="10" width="17.7109375" bestFit="1" customWidth="1"/>
    <col min="11" max="11" width="20" bestFit="1" customWidth="1"/>
    <col min="12" max="12" width="18.85546875" bestFit="1" customWidth="1"/>
    <col min="13" max="13" width="10.85546875" bestFit="1" customWidth="1"/>
    <col min="14" max="16" width="11.140625" bestFit="1" customWidth="1"/>
    <col min="17" max="17" width="11.42578125" bestFit="1" customWidth="1"/>
    <col min="18" max="18" width="16.7109375" bestFit="1" customWidth="1"/>
    <col min="19" max="19" width="16.5703125" bestFit="1" customWidth="1"/>
    <col min="20" max="22" width="11.140625" bestFit="1" customWidth="1"/>
    <col min="23" max="23" width="14.28515625" bestFit="1" customWidth="1"/>
    <col min="24" max="24" width="12.7109375" bestFit="1" customWidth="1"/>
    <col min="25" max="26" width="12.140625" bestFit="1" customWidth="1"/>
  </cols>
  <sheetData>
    <row r="1" spans="1:13" x14ac:dyDescent="0.25">
      <c r="A1" t="s">
        <v>308</v>
      </c>
      <c r="B1" t="s">
        <v>309</v>
      </c>
      <c r="C1" t="s">
        <v>310</v>
      </c>
      <c r="D1" t="s">
        <v>311</v>
      </c>
      <c r="E1" t="s">
        <v>312</v>
      </c>
      <c r="F1" t="s">
        <v>313</v>
      </c>
      <c r="G1" t="s">
        <v>314</v>
      </c>
      <c r="H1" t="s">
        <v>315</v>
      </c>
      <c r="I1" t="s">
        <v>316</v>
      </c>
      <c r="J1" t="s">
        <v>317</v>
      </c>
      <c r="K1" t="s">
        <v>336</v>
      </c>
      <c r="L1" t="s">
        <v>318</v>
      </c>
      <c r="M1" t="s">
        <v>319</v>
      </c>
    </row>
    <row r="2" spans="1:13" x14ac:dyDescent="0.25">
      <c r="A2" t="s">
        <v>86</v>
      </c>
      <c r="B2" s="2">
        <v>45749</v>
      </c>
      <c r="C2" t="s">
        <v>65</v>
      </c>
      <c r="D2" t="s">
        <v>23</v>
      </c>
      <c r="E2" t="s">
        <v>31</v>
      </c>
      <c r="F2" t="s">
        <v>32</v>
      </c>
      <c r="G2">
        <v>20</v>
      </c>
      <c r="H2">
        <v>5</v>
      </c>
      <c r="I2">
        <v>100</v>
      </c>
      <c r="J2" t="s">
        <v>79</v>
      </c>
      <c r="K2" t="s">
        <v>6</v>
      </c>
      <c r="L2" t="s">
        <v>26</v>
      </c>
      <c r="M2" t="s">
        <v>15</v>
      </c>
    </row>
    <row r="3" spans="1:13" x14ac:dyDescent="0.25">
      <c r="A3" t="s">
        <v>87</v>
      </c>
      <c r="B3" s="2">
        <v>45749</v>
      </c>
      <c r="C3" t="s">
        <v>65</v>
      </c>
      <c r="D3" t="s">
        <v>23</v>
      </c>
      <c r="E3" t="s">
        <v>54</v>
      </c>
      <c r="F3" t="s">
        <v>12</v>
      </c>
      <c r="G3">
        <v>800</v>
      </c>
      <c r="H3">
        <v>3</v>
      </c>
      <c r="I3">
        <v>2400</v>
      </c>
      <c r="J3" t="s">
        <v>5</v>
      </c>
      <c r="K3" t="s">
        <v>20</v>
      </c>
      <c r="L3" t="s">
        <v>21</v>
      </c>
      <c r="M3" t="s">
        <v>37</v>
      </c>
    </row>
    <row r="4" spans="1:13" x14ac:dyDescent="0.25">
      <c r="A4" t="s">
        <v>234</v>
      </c>
      <c r="B4" s="2">
        <v>45749</v>
      </c>
      <c r="C4" t="s">
        <v>65</v>
      </c>
      <c r="D4" t="s">
        <v>23</v>
      </c>
      <c r="E4" t="s">
        <v>31</v>
      </c>
      <c r="F4" t="s">
        <v>32</v>
      </c>
      <c r="G4">
        <v>20</v>
      </c>
      <c r="H4">
        <v>5</v>
      </c>
      <c r="I4">
        <v>100</v>
      </c>
      <c r="J4" t="s">
        <v>5</v>
      </c>
      <c r="K4" t="s">
        <v>20</v>
      </c>
      <c r="L4" t="s">
        <v>36</v>
      </c>
      <c r="M4" t="s">
        <v>37</v>
      </c>
    </row>
    <row r="5" spans="1:13" x14ac:dyDescent="0.25">
      <c r="A5" t="s">
        <v>279</v>
      </c>
      <c r="B5" s="2">
        <v>45749</v>
      </c>
      <c r="C5" t="s">
        <v>65</v>
      </c>
      <c r="D5" t="s">
        <v>23</v>
      </c>
      <c r="E5" t="s">
        <v>11</v>
      </c>
      <c r="F5" t="s">
        <v>12</v>
      </c>
      <c r="G5">
        <v>100</v>
      </c>
      <c r="H5">
        <v>5</v>
      </c>
      <c r="I5">
        <v>500</v>
      </c>
      <c r="J5" t="s">
        <v>5</v>
      </c>
      <c r="K5" t="s">
        <v>42</v>
      </c>
      <c r="L5" t="s">
        <v>21</v>
      </c>
      <c r="M5" t="s">
        <v>8</v>
      </c>
    </row>
    <row r="6" spans="1:13" x14ac:dyDescent="0.25">
      <c r="A6" t="s">
        <v>64</v>
      </c>
      <c r="B6" s="2">
        <v>45748</v>
      </c>
      <c r="C6" t="s">
        <v>65</v>
      </c>
      <c r="D6" t="s">
        <v>34</v>
      </c>
      <c r="E6" t="s">
        <v>31</v>
      </c>
      <c r="F6" t="s">
        <v>32</v>
      </c>
      <c r="G6">
        <v>20</v>
      </c>
      <c r="H6">
        <v>1</v>
      </c>
      <c r="I6">
        <v>20</v>
      </c>
      <c r="J6" t="s">
        <v>5</v>
      </c>
      <c r="K6" t="s">
        <v>6</v>
      </c>
      <c r="L6" t="s">
        <v>21</v>
      </c>
      <c r="M6" t="s">
        <v>37</v>
      </c>
    </row>
    <row r="7" spans="1:13" x14ac:dyDescent="0.25">
      <c r="A7" t="s">
        <v>111</v>
      </c>
      <c r="B7" s="2">
        <v>45748</v>
      </c>
      <c r="C7" t="s">
        <v>65</v>
      </c>
      <c r="D7" t="s">
        <v>34</v>
      </c>
      <c r="E7" t="s">
        <v>29</v>
      </c>
      <c r="F7" t="s">
        <v>12</v>
      </c>
      <c r="G7">
        <v>150</v>
      </c>
      <c r="H7">
        <v>2</v>
      </c>
      <c r="I7">
        <v>300</v>
      </c>
      <c r="J7" t="s">
        <v>55</v>
      </c>
      <c r="K7" t="s">
        <v>25</v>
      </c>
      <c r="L7" t="s">
        <v>26</v>
      </c>
      <c r="M7" t="s">
        <v>8</v>
      </c>
    </row>
    <row r="8" spans="1:13" x14ac:dyDescent="0.25">
      <c r="A8" t="s">
        <v>119</v>
      </c>
      <c r="B8" s="2">
        <v>45747</v>
      </c>
      <c r="C8" t="s">
        <v>1</v>
      </c>
      <c r="D8" t="s">
        <v>28</v>
      </c>
      <c r="E8" t="s">
        <v>11</v>
      </c>
      <c r="F8" t="s">
        <v>12</v>
      </c>
      <c r="G8">
        <v>100</v>
      </c>
      <c r="H8">
        <v>3</v>
      </c>
      <c r="I8">
        <v>300</v>
      </c>
      <c r="J8" t="s">
        <v>71</v>
      </c>
      <c r="K8" t="s">
        <v>6</v>
      </c>
      <c r="L8" t="s">
        <v>7</v>
      </c>
      <c r="M8" t="s">
        <v>15</v>
      </c>
    </row>
    <row r="9" spans="1:13" x14ac:dyDescent="0.25">
      <c r="A9" t="s">
        <v>163</v>
      </c>
      <c r="B9" s="2">
        <v>45747</v>
      </c>
      <c r="C9" t="s">
        <v>1</v>
      </c>
      <c r="D9" t="s">
        <v>28</v>
      </c>
      <c r="E9" t="s">
        <v>54</v>
      </c>
      <c r="F9" t="s">
        <v>12</v>
      </c>
      <c r="G9">
        <v>800</v>
      </c>
      <c r="H9">
        <v>4</v>
      </c>
      <c r="I9">
        <v>3200</v>
      </c>
      <c r="J9" t="s">
        <v>5</v>
      </c>
      <c r="K9" t="s">
        <v>67</v>
      </c>
      <c r="L9" t="s">
        <v>26</v>
      </c>
      <c r="M9" t="s">
        <v>37</v>
      </c>
    </row>
    <row r="10" spans="1:13" x14ac:dyDescent="0.25">
      <c r="A10" t="s">
        <v>195</v>
      </c>
      <c r="B10" s="2">
        <v>45747</v>
      </c>
      <c r="C10" t="s">
        <v>1</v>
      </c>
      <c r="D10" t="s">
        <v>28</v>
      </c>
      <c r="E10" t="s">
        <v>63</v>
      </c>
      <c r="F10" t="s">
        <v>59</v>
      </c>
      <c r="G10">
        <v>1200</v>
      </c>
      <c r="H10">
        <v>2</v>
      </c>
      <c r="I10">
        <v>2400</v>
      </c>
      <c r="J10" t="s">
        <v>79</v>
      </c>
      <c r="K10" t="s">
        <v>25</v>
      </c>
      <c r="L10" t="s">
        <v>36</v>
      </c>
      <c r="M10" t="s">
        <v>8</v>
      </c>
    </row>
    <row r="11" spans="1:13" x14ac:dyDescent="0.25">
      <c r="A11" t="s">
        <v>244</v>
      </c>
      <c r="B11" s="2">
        <v>45747</v>
      </c>
      <c r="C11" t="s">
        <v>1</v>
      </c>
      <c r="D11" t="s">
        <v>28</v>
      </c>
      <c r="E11" t="s">
        <v>11</v>
      </c>
      <c r="F11" t="s">
        <v>12</v>
      </c>
      <c r="G11">
        <v>100</v>
      </c>
      <c r="H11">
        <v>3</v>
      </c>
      <c r="I11">
        <v>300</v>
      </c>
      <c r="J11" t="s">
        <v>41</v>
      </c>
      <c r="K11" t="s">
        <v>25</v>
      </c>
      <c r="L11" t="s">
        <v>56</v>
      </c>
      <c r="M11" t="s">
        <v>15</v>
      </c>
    </row>
    <row r="12" spans="1:13" x14ac:dyDescent="0.25">
      <c r="A12" t="s">
        <v>282</v>
      </c>
      <c r="B12" s="2">
        <v>45747</v>
      </c>
      <c r="C12" t="s">
        <v>1</v>
      </c>
      <c r="D12" t="s">
        <v>28</v>
      </c>
      <c r="E12" t="s">
        <v>11</v>
      </c>
      <c r="F12" t="s">
        <v>12</v>
      </c>
      <c r="G12">
        <v>100</v>
      </c>
      <c r="H12">
        <v>4</v>
      </c>
      <c r="I12">
        <v>400</v>
      </c>
      <c r="J12" t="s">
        <v>79</v>
      </c>
      <c r="K12" t="s">
        <v>14</v>
      </c>
      <c r="L12" t="s">
        <v>21</v>
      </c>
      <c r="M12" t="s">
        <v>15</v>
      </c>
    </row>
    <row r="13" spans="1:13" x14ac:dyDescent="0.25">
      <c r="A13" t="s">
        <v>115</v>
      </c>
      <c r="B13" s="2">
        <v>45746</v>
      </c>
      <c r="C13" t="s">
        <v>1</v>
      </c>
      <c r="D13" t="s">
        <v>39</v>
      </c>
      <c r="E13" t="s">
        <v>40</v>
      </c>
      <c r="F13" t="s">
        <v>12</v>
      </c>
      <c r="G13">
        <v>500</v>
      </c>
      <c r="H13">
        <v>5</v>
      </c>
      <c r="I13">
        <v>2500</v>
      </c>
      <c r="J13" t="s">
        <v>5</v>
      </c>
      <c r="K13" t="s">
        <v>42</v>
      </c>
      <c r="L13" t="s">
        <v>56</v>
      </c>
      <c r="M13" t="s">
        <v>37</v>
      </c>
    </row>
    <row r="14" spans="1:13" x14ac:dyDescent="0.25">
      <c r="A14" t="s">
        <v>148</v>
      </c>
      <c r="B14" s="2">
        <v>45746</v>
      </c>
      <c r="C14" t="s">
        <v>1</v>
      </c>
      <c r="D14" t="s">
        <v>39</v>
      </c>
      <c r="E14" t="s">
        <v>29</v>
      </c>
      <c r="F14" t="s">
        <v>12</v>
      </c>
      <c r="G14">
        <v>150</v>
      </c>
      <c r="H14">
        <v>3</v>
      </c>
      <c r="I14">
        <v>450</v>
      </c>
      <c r="J14" t="s">
        <v>79</v>
      </c>
      <c r="K14" t="s">
        <v>6</v>
      </c>
      <c r="L14" t="s">
        <v>21</v>
      </c>
      <c r="M14" t="s">
        <v>37</v>
      </c>
    </row>
    <row r="15" spans="1:13" x14ac:dyDescent="0.25">
      <c r="A15" t="s">
        <v>218</v>
      </c>
      <c r="B15" s="2">
        <v>45746</v>
      </c>
      <c r="C15" t="s">
        <v>1</v>
      </c>
      <c r="D15" t="s">
        <v>39</v>
      </c>
      <c r="E15" t="s">
        <v>58</v>
      </c>
      <c r="F15" t="s">
        <v>59</v>
      </c>
      <c r="G15">
        <v>600</v>
      </c>
      <c r="H15">
        <v>4</v>
      </c>
      <c r="I15">
        <v>2400</v>
      </c>
      <c r="J15" t="s">
        <v>71</v>
      </c>
      <c r="K15" t="s">
        <v>35</v>
      </c>
      <c r="L15" t="s">
        <v>26</v>
      </c>
      <c r="M15" t="s">
        <v>15</v>
      </c>
    </row>
    <row r="16" spans="1:13" x14ac:dyDescent="0.25">
      <c r="A16" t="s">
        <v>245</v>
      </c>
      <c r="B16" s="2">
        <v>45746</v>
      </c>
      <c r="C16" t="s">
        <v>1</v>
      </c>
      <c r="D16" t="s">
        <v>39</v>
      </c>
      <c r="E16" t="s">
        <v>47</v>
      </c>
      <c r="F16" t="s">
        <v>48</v>
      </c>
      <c r="G16">
        <v>15</v>
      </c>
      <c r="H16">
        <v>5</v>
      </c>
      <c r="I16">
        <v>75</v>
      </c>
      <c r="J16" t="s">
        <v>49</v>
      </c>
      <c r="K16" t="s">
        <v>80</v>
      </c>
      <c r="L16" t="s">
        <v>21</v>
      </c>
      <c r="M16" t="s">
        <v>15</v>
      </c>
    </row>
    <row r="17" spans="1:13" x14ac:dyDescent="0.25">
      <c r="A17" t="s">
        <v>293</v>
      </c>
      <c r="B17" s="2">
        <v>45746</v>
      </c>
      <c r="C17" t="s">
        <v>1</v>
      </c>
      <c r="D17" t="s">
        <v>39</v>
      </c>
      <c r="E17" t="s">
        <v>40</v>
      </c>
      <c r="F17" t="s">
        <v>12</v>
      </c>
      <c r="G17">
        <v>500</v>
      </c>
      <c r="H17">
        <v>4</v>
      </c>
      <c r="I17">
        <v>2000</v>
      </c>
      <c r="J17" t="s">
        <v>24</v>
      </c>
      <c r="K17" t="s">
        <v>6</v>
      </c>
      <c r="L17" t="s">
        <v>26</v>
      </c>
      <c r="M17" t="s">
        <v>15</v>
      </c>
    </row>
    <row r="18" spans="1:13" x14ac:dyDescent="0.25">
      <c r="A18" t="s">
        <v>299</v>
      </c>
      <c r="B18" s="2">
        <v>45746</v>
      </c>
      <c r="C18" t="s">
        <v>1</v>
      </c>
      <c r="D18" t="s">
        <v>39</v>
      </c>
      <c r="E18" t="s">
        <v>51</v>
      </c>
      <c r="F18" t="s">
        <v>32</v>
      </c>
      <c r="G18">
        <v>40</v>
      </c>
      <c r="H18">
        <v>1</v>
      </c>
      <c r="I18">
        <v>40</v>
      </c>
      <c r="J18" t="s">
        <v>41</v>
      </c>
      <c r="K18" t="s">
        <v>25</v>
      </c>
      <c r="L18" t="s">
        <v>7</v>
      </c>
      <c r="M18" t="s">
        <v>8</v>
      </c>
    </row>
    <row r="19" spans="1:13" x14ac:dyDescent="0.25">
      <c r="A19" t="s">
        <v>203</v>
      </c>
      <c r="B19" s="2">
        <v>45745</v>
      </c>
      <c r="C19" t="s">
        <v>1</v>
      </c>
      <c r="D19" t="s">
        <v>18</v>
      </c>
      <c r="E19" t="s">
        <v>58</v>
      </c>
      <c r="F19" t="s">
        <v>59</v>
      </c>
      <c r="G19">
        <v>600</v>
      </c>
      <c r="H19">
        <v>4</v>
      </c>
      <c r="I19">
        <v>2400</v>
      </c>
      <c r="J19" t="s">
        <v>79</v>
      </c>
      <c r="K19" t="s">
        <v>67</v>
      </c>
      <c r="L19" t="s">
        <v>21</v>
      </c>
      <c r="M19" t="s">
        <v>15</v>
      </c>
    </row>
    <row r="20" spans="1:13" x14ac:dyDescent="0.25">
      <c r="A20" t="s">
        <v>261</v>
      </c>
      <c r="B20" s="2">
        <v>45745</v>
      </c>
      <c r="C20" t="s">
        <v>1</v>
      </c>
      <c r="D20" t="s">
        <v>18</v>
      </c>
      <c r="E20" t="s">
        <v>51</v>
      </c>
      <c r="F20" t="s">
        <v>32</v>
      </c>
      <c r="G20">
        <v>40</v>
      </c>
      <c r="H20">
        <v>5</v>
      </c>
      <c r="I20">
        <v>200</v>
      </c>
      <c r="J20" t="s">
        <v>55</v>
      </c>
      <c r="K20" t="s">
        <v>25</v>
      </c>
      <c r="L20" t="s">
        <v>36</v>
      </c>
      <c r="M20" t="s">
        <v>37</v>
      </c>
    </row>
    <row r="21" spans="1:13" x14ac:dyDescent="0.25">
      <c r="A21" t="s">
        <v>174</v>
      </c>
      <c r="B21" s="2">
        <v>45744</v>
      </c>
      <c r="C21" t="s">
        <v>1</v>
      </c>
      <c r="D21" t="s">
        <v>2</v>
      </c>
      <c r="E21" t="s">
        <v>54</v>
      </c>
      <c r="F21" t="s">
        <v>12</v>
      </c>
      <c r="G21">
        <v>800</v>
      </c>
      <c r="H21">
        <v>3</v>
      </c>
      <c r="I21">
        <v>2400</v>
      </c>
      <c r="J21" t="s">
        <v>19</v>
      </c>
      <c r="K21" t="s">
        <v>42</v>
      </c>
      <c r="L21" t="s">
        <v>26</v>
      </c>
      <c r="M21" t="s">
        <v>8</v>
      </c>
    </row>
    <row r="22" spans="1:13" x14ac:dyDescent="0.25">
      <c r="A22" t="s">
        <v>228</v>
      </c>
      <c r="B22" s="2">
        <v>45743</v>
      </c>
      <c r="C22" t="s">
        <v>1</v>
      </c>
      <c r="D22" t="s">
        <v>10</v>
      </c>
      <c r="E22" t="s">
        <v>47</v>
      </c>
      <c r="F22" t="s">
        <v>48</v>
      </c>
      <c r="G22">
        <v>15</v>
      </c>
      <c r="H22">
        <v>1</v>
      </c>
      <c r="I22">
        <v>15</v>
      </c>
      <c r="J22" t="s">
        <v>52</v>
      </c>
      <c r="K22" t="s">
        <v>44</v>
      </c>
      <c r="L22" t="s">
        <v>21</v>
      </c>
      <c r="M22" t="s">
        <v>37</v>
      </c>
    </row>
    <row r="23" spans="1:13" x14ac:dyDescent="0.25">
      <c r="A23" t="s">
        <v>90</v>
      </c>
      <c r="B23" s="2">
        <v>45742</v>
      </c>
      <c r="C23" t="s">
        <v>1</v>
      </c>
      <c r="D23" t="s">
        <v>23</v>
      </c>
      <c r="E23" t="s">
        <v>54</v>
      </c>
      <c r="F23" t="s">
        <v>12</v>
      </c>
      <c r="G23">
        <v>800</v>
      </c>
      <c r="H23">
        <v>3</v>
      </c>
      <c r="I23">
        <v>2400</v>
      </c>
      <c r="J23" t="s">
        <v>24</v>
      </c>
      <c r="K23" t="s">
        <v>80</v>
      </c>
      <c r="L23" t="s">
        <v>21</v>
      </c>
      <c r="M23" t="s">
        <v>37</v>
      </c>
    </row>
    <row r="24" spans="1:13" x14ac:dyDescent="0.25">
      <c r="A24" t="s">
        <v>92</v>
      </c>
      <c r="B24" s="2">
        <v>45742</v>
      </c>
      <c r="C24" t="s">
        <v>1</v>
      </c>
      <c r="D24" t="s">
        <v>23</v>
      </c>
      <c r="E24" t="s">
        <v>29</v>
      </c>
      <c r="F24" t="s">
        <v>12</v>
      </c>
      <c r="G24">
        <v>150</v>
      </c>
      <c r="H24">
        <v>1</v>
      </c>
      <c r="I24">
        <v>150</v>
      </c>
      <c r="J24" t="s">
        <v>13</v>
      </c>
      <c r="K24" t="s">
        <v>61</v>
      </c>
      <c r="L24" t="s">
        <v>56</v>
      </c>
      <c r="M24" t="s">
        <v>15</v>
      </c>
    </row>
    <row r="25" spans="1:13" x14ac:dyDescent="0.25">
      <c r="A25" t="s">
        <v>99</v>
      </c>
      <c r="B25" s="2">
        <v>45742</v>
      </c>
      <c r="C25" t="s">
        <v>1</v>
      </c>
      <c r="D25" t="s">
        <v>23</v>
      </c>
      <c r="E25" t="s">
        <v>31</v>
      </c>
      <c r="F25" t="s">
        <v>32</v>
      </c>
      <c r="G25">
        <v>20</v>
      </c>
      <c r="H25">
        <v>2</v>
      </c>
      <c r="I25">
        <v>40</v>
      </c>
      <c r="J25" t="s">
        <v>71</v>
      </c>
      <c r="K25" t="s">
        <v>42</v>
      </c>
      <c r="L25" t="s">
        <v>56</v>
      </c>
      <c r="M25" t="s">
        <v>8</v>
      </c>
    </row>
    <row r="26" spans="1:13" x14ac:dyDescent="0.25">
      <c r="A26" t="s">
        <v>141</v>
      </c>
      <c r="B26" s="2">
        <v>45742</v>
      </c>
      <c r="C26" t="s">
        <v>1</v>
      </c>
      <c r="D26" t="s">
        <v>23</v>
      </c>
      <c r="E26" t="s">
        <v>3</v>
      </c>
      <c r="F26" t="s">
        <v>4</v>
      </c>
      <c r="G26">
        <v>60</v>
      </c>
      <c r="H26">
        <v>5</v>
      </c>
      <c r="I26">
        <v>300</v>
      </c>
      <c r="J26" t="s">
        <v>5</v>
      </c>
      <c r="K26" t="s">
        <v>67</v>
      </c>
      <c r="L26" t="s">
        <v>26</v>
      </c>
      <c r="M26" t="s">
        <v>8</v>
      </c>
    </row>
    <row r="27" spans="1:13" x14ac:dyDescent="0.25">
      <c r="A27" t="s">
        <v>268</v>
      </c>
      <c r="B27" s="2">
        <v>45742</v>
      </c>
      <c r="C27" t="s">
        <v>1</v>
      </c>
      <c r="D27" t="s">
        <v>23</v>
      </c>
      <c r="E27" t="s">
        <v>51</v>
      </c>
      <c r="F27" t="s">
        <v>32</v>
      </c>
      <c r="G27">
        <v>40</v>
      </c>
      <c r="H27">
        <v>2</v>
      </c>
      <c r="I27">
        <v>80</v>
      </c>
      <c r="J27" t="s">
        <v>71</v>
      </c>
      <c r="K27" t="s">
        <v>80</v>
      </c>
      <c r="L27" t="s">
        <v>26</v>
      </c>
      <c r="M27" t="s">
        <v>37</v>
      </c>
    </row>
    <row r="28" spans="1:13" x14ac:dyDescent="0.25">
      <c r="A28" t="s">
        <v>126</v>
      </c>
      <c r="B28" s="2">
        <v>45741</v>
      </c>
      <c r="C28" t="s">
        <v>1</v>
      </c>
      <c r="D28" t="s">
        <v>34</v>
      </c>
      <c r="E28" t="s">
        <v>63</v>
      </c>
      <c r="F28" t="s">
        <v>59</v>
      </c>
      <c r="G28">
        <v>1200</v>
      </c>
      <c r="H28">
        <v>4</v>
      </c>
      <c r="I28">
        <v>4800</v>
      </c>
      <c r="J28" t="s">
        <v>79</v>
      </c>
      <c r="K28" t="s">
        <v>25</v>
      </c>
      <c r="L28" t="s">
        <v>56</v>
      </c>
      <c r="M28" t="s">
        <v>8</v>
      </c>
    </row>
    <row r="29" spans="1:13" x14ac:dyDescent="0.25">
      <c r="A29" t="s">
        <v>146</v>
      </c>
      <c r="B29" s="2">
        <v>45741</v>
      </c>
      <c r="C29" t="s">
        <v>1</v>
      </c>
      <c r="D29" t="s">
        <v>34</v>
      </c>
      <c r="E29" t="s">
        <v>51</v>
      </c>
      <c r="F29" t="s">
        <v>32</v>
      </c>
      <c r="G29">
        <v>40</v>
      </c>
      <c r="H29">
        <v>5</v>
      </c>
      <c r="I29">
        <v>200</v>
      </c>
      <c r="J29" t="s">
        <v>55</v>
      </c>
      <c r="K29" t="s">
        <v>61</v>
      </c>
      <c r="L29" t="s">
        <v>26</v>
      </c>
      <c r="M29" t="s">
        <v>8</v>
      </c>
    </row>
    <row r="30" spans="1:13" x14ac:dyDescent="0.25">
      <c r="A30" t="s">
        <v>149</v>
      </c>
      <c r="B30" s="2">
        <v>45741</v>
      </c>
      <c r="C30" t="s">
        <v>1</v>
      </c>
      <c r="D30" t="s">
        <v>34</v>
      </c>
      <c r="E30" t="s">
        <v>47</v>
      </c>
      <c r="F30" t="s">
        <v>48</v>
      </c>
      <c r="G30">
        <v>15</v>
      </c>
      <c r="H30">
        <v>5</v>
      </c>
      <c r="I30">
        <v>75</v>
      </c>
      <c r="J30" t="s">
        <v>24</v>
      </c>
      <c r="K30" t="s">
        <v>80</v>
      </c>
      <c r="L30" t="s">
        <v>21</v>
      </c>
      <c r="M30" t="s">
        <v>15</v>
      </c>
    </row>
    <row r="31" spans="1:13" x14ac:dyDescent="0.25">
      <c r="A31" t="s">
        <v>198</v>
      </c>
      <c r="B31" s="2">
        <v>45741</v>
      </c>
      <c r="C31" t="s">
        <v>1</v>
      </c>
      <c r="D31" t="s">
        <v>34</v>
      </c>
      <c r="E31" t="s">
        <v>29</v>
      </c>
      <c r="F31" t="s">
        <v>12</v>
      </c>
      <c r="G31">
        <v>150</v>
      </c>
      <c r="H31">
        <v>2</v>
      </c>
      <c r="I31">
        <v>300</v>
      </c>
      <c r="J31" t="s">
        <v>5</v>
      </c>
      <c r="K31" t="s">
        <v>44</v>
      </c>
      <c r="L31" t="s">
        <v>7</v>
      </c>
      <c r="M31" t="s">
        <v>37</v>
      </c>
    </row>
    <row r="32" spans="1:13" x14ac:dyDescent="0.25">
      <c r="A32" t="s">
        <v>231</v>
      </c>
      <c r="B32" s="2">
        <v>45741</v>
      </c>
      <c r="C32" t="s">
        <v>1</v>
      </c>
      <c r="D32" t="s">
        <v>34</v>
      </c>
      <c r="E32" t="s">
        <v>51</v>
      </c>
      <c r="F32" t="s">
        <v>32</v>
      </c>
      <c r="G32">
        <v>40</v>
      </c>
      <c r="H32">
        <v>1</v>
      </c>
      <c r="I32">
        <v>40</v>
      </c>
      <c r="J32" t="s">
        <v>24</v>
      </c>
      <c r="K32" t="s">
        <v>61</v>
      </c>
      <c r="L32" t="s">
        <v>36</v>
      </c>
      <c r="M32" t="s">
        <v>8</v>
      </c>
    </row>
    <row r="33" spans="1:13" x14ac:dyDescent="0.25">
      <c r="A33" t="s">
        <v>235</v>
      </c>
      <c r="B33" s="2">
        <v>45741</v>
      </c>
      <c r="C33" t="s">
        <v>1</v>
      </c>
      <c r="D33" t="s">
        <v>34</v>
      </c>
      <c r="E33" t="s">
        <v>58</v>
      </c>
      <c r="F33" t="s">
        <v>59</v>
      </c>
      <c r="G33">
        <v>600</v>
      </c>
      <c r="H33">
        <v>1</v>
      </c>
      <c r="I33">
        <v>600</v>
      </c>
      <c r="J33" t="s">
        <v>5</v>
      </c>
      <c r="K33" t="s">
        <v>61</v>
      </c>
      <c r="L33" t="s">
        <v>7</v>
      </c>
      <c r="M33" t="s">
        <v>15</v>
      </c>
    </row>
    <row r="34" spans="1:13" x14ac:dyDescent="0.25">
      <c r="A34" t="s">
        <v>74</v>
      </c>
      <c r="B34" s="2">
        <v>45740</v>
      </c>
      <c r="C34" t="s">
        <v>1</v>
      </c>
      <c r="D34" t="s">
        <v>28</v>
      </c>
      <c r="E34" t="s">
        <v>63</v>
      </c>
      <c r="F34" t="s">
        <v>59</v>
      </c>
      <c r="G34">
        <v>1200</v>
      </c>
      <c r="H34">
        <v>3</v>
      </c>
      <c r="I34">
        <v>3600</v>
      </c>
      <c r="J34" t="s">
        <v>71</v>
      </c>
      <c r="K34" t="s">
        <v>25</v>
      </c>
      <c r="L34" t="s">
        <v>26</v>
      </c>
      <c r="M34" t="s">
        <v>8</v>
      </c>
    </row>
    <row r="35" spans="1:13" x14ac:dyDescent="0.25">
      <c r="A35" t="s">
        <v>83</v>
      </c>
      <c r="B35" s="2">
        <v>45740</v>
      </c>
      <c r="C35" t="s">
        <v>1</v>
      </c>
      <c r="D35" t="s">
        <v>28</v>
      </c>
      <c r="E35" t="s">
        <v>40</v>
      </c>
      <c r="F35" t="s">
        <v>12</v>
      </c>
      <c r="G35">
        <v>500</v>
      </c>
      <c r="H35">
        <v>1</v>
      </c>
      <c r="I35">
        <v>500</v>
      </c>
      <c r="J35" t="s">
        <v>19</v>
      </c>
      <c r="K35" t="s">
        <v>35</v>
      </c>
      <c r="L35" t="s">
        <v>56</v>
      </c>
      <c r="M35" t="s">
        <v>15</v>
      </c>
    </row>
    <row r="36" spans="1:13" x14ac:dyDescent="0.25">
      <c r="A36" t="s">
        <v>96</v>
      </c>
      <c r="B36" s="2">
        <v>45740</v>
      </c>
      <c r="C36" t="s">
        <v>1</v>
      </c>
      <c r="D36" t="s">
        <v>28</v>
      </c>
      <c r="E36" t="s">
        <v>29</v>
      </c>
      <c r="F36" t="s">
        <v>12</v>
      </c>
      <c r="G36">
        <v>150</v>
      </c>
      <c r="H36">
        <v>1</v>
      </c>
      <c r="I36">
        <v>150</v>
      </c>
      <c r="J36" t="s">
        <v>71</v>
      </c>
      <c r="K36" t="s">
        <v>35</v>
      </c>
      <c r="L36" t="s">
        <v>7</v>
      </c>
      <c r="M36" t="s">
        <v>15</v>
      </c>
    </row>
    <row r="37" spans="1:13" x14ac:dyDescent="0.25">
      <c r="A37" t="s">
        <v>105</v>
      </c>
      <c r="B37" s="2">
        <v>45740</v>
      </c>
      <c r="C37" t="s">
        <v>1</v>
      </c>
      <c r="D37" t="s">
        <v>28</v>
      </c>
      <c r="E37" t="s">
        <v>3</v>
      </c>
      <c r="F37" t="s">
        <v>4</v>
      </c>
      <c r="G37">
        <v>60</v>
      </c>
      <c r="H37">
        <v>4</v>
      </c>
      <c r="I37">
        <v>240</v>
      </c>
      <c r="J37" t="s">
        <v>13</v>
      </c>
      <c r="K37" t="s">
        <v>67</v>
      </c>
      <c r="L37" t="s">
        <v>36</v>
      </c>
      <c r="M37" t="s">
        <v>37</v>
      </c>
    </row>
    <row r="38" spans="1:13" x14ac:dyDescent="0.25">
      <c r="A38" t="s">
        <v>142</v>
      </c>
      <c r="B38" s="2">
        <v>45740</v>
      </c>
      <c r="C38" t="s">
        <v>1</v>
      </c>
      <c r="D38" t="s">
        <v>28</v>
      </c>
      <c r="E38" t="s">
        <v>29</v>
      </c>
      <c r="F38" t="s">
        <v>12</v>
      </c>
      <c r="G38">
        <v>150</v>
      </c>
      <c r="H38">
        <v>5</v>
      </c>
      <c r="I38">
        <v>750</v>
      </c>
      <c r="J38" t="s">
        <v>13</v>
      </c>
      <c r="K38" t="s">
        <v>35</v>
      </c>
      <c r="L38" t="s">
        <v>21</v>
      </c>
      <c r="M38" t="s">
        <v>37</v>
      </c>
    </row>
    <row r="39" spans="1:13" x14ac:dyDescent="0.25">
      <c r="A39" t="s">
        <v>220</v>
      </c>
      <c r="B39" s="2">
        <v>45740</v>
      </c>
      <c r="C39" t="s">
        <v>1</v>
      </c>
      <c r="D39" t="s">
        <v>28</v>
      </c>
      <c r="E39" t="s">
        <v>54</v>
      </c>
      <c r="F39" t="s">
        <v>12</v>
      </c>
      <c r="G39">
        <v>800</v>
      </c>
      <c r="H39">
        <v>5</v>
      </c>
      <c r="I39">
        <v>4000</v>
      </c>
      <c r="J39" t="s">
        <v>52</v>
      </c>
      <c r="K39" t="s">
        <v>42</v>
      </c>
      <c r="L39" t="s">
        <v>7</v>
      </c>
      <c r="M39" t="s">
        <v>15</v>
      </c>
    </row>
    <row r="40" spans="1:13" x14ac:dyDescent="0.25">
      <c r="A40" t="s">
        <v>227</v>
      </c>
      <c r="B40" s="2">
        <v>45740</v>
      </c>
      <c r="C40" t="s">
        <v>1</v>
      </c>
      <c r="D40" t="s">
        <v>28</v>
      </c>
      <c r="E40" t="s">
        <v>51</v>
      </c>
      <c r="F40" t="s">
        <v>32</v>
      </c>
      <c r="G40">
        <v>40</v>
      </c>
      <c r="H40">
        <v>5</v>
      </c>
      <c r="I40">
        <v>200</v>
      </c>
      <c r="J40" t="s">
        <v>49</v>
      </c>
      <c r="K40" t="s">
        <v>6</v>
      </c>
      <c r="L40" t="s">
        <v>7</v>
      </c>
      <c r="M40" t="s">
        <v>8</v>
      </c>
    </row>
    <row r="41" spans="1:13" x14ac:dyDescent="0.25">
      <c r="A41" t="s">
        <v>275</v>
      </c>
      <c r="B41" s="2">
        <v>45740</v>
      </c>
      <c r="C41" t="s">
        <v>1</v>
      </c>
      <c r="D41" t="s">
        <v>28</v>
      </c>
      <c r="E41" t="s">
        <v>51</v>
      </c>
      <c r="F41" t="s">
        <v>32</v>
      </c>
      <c r="G41">
        <v>40</v>
      </c>
      <c r="H41">
        <v>2</v>
      </c>
      <c r="I41">
        <v>80</v>
      </c>
      <c r="J41" t="s">
        <v>49</v>
      </c>
      <c r="K41" t="s">
        <v>20</v>
      </c>
      <c r="L41" t="s">
        <v>21</v>
      </c>
      <c r="M41" t="s">
        <v>8</v>
      </c>
    </row>
    <row r="42" spans="1:13" x14ac:dyDescent="0.25">
      <c r="A42" t="s">
        <v>180</v>
      </c>
      <c r="B42" s="2">
        <v>45739</v>
      </c>
      <c r="C42" t="s">
        <v>1</v>
      </c>
      <c r="D42" t="s">
        <v>39</v>
      </c>
      <c r="E42" t="s">
        <v>29</v>
      </c>
      <c r="F42" t="s">
        <v>12</v>
      </c>
      <c r="G42">
        <v>150</v>
      </c>
      <c r="H42">
        <v>2</v>
      </c>
      <c r="I42">
        <v>300</v>
      </c>
      <c r="J42" t="s">
        <v>13</v>
      </c>
      <c r="K42" t="s">
        <v>25</v>
      </c>
      <c r="L42" t="s">
        <v>36</v>
      </c>
      <c r="M42" t="s">
        <v>8</v>
      </c>
    </row>
    <row r="43" spans="1:13" x14ac:dyDescent="0.25">
      <c r="A43" t="s">
        <v>262</v>
      </c>
      <c r="B43" s="2">
        <v>45739</v>
      </c>
      <c r="C43" t="s">
        <v>1</v>
      </c>
      <c r="D43" t="s">
        <v>39</v>
      </c>
      <c r="E43" t="s">
        <v>54</v>
      </c>
      <c r="F43" t="s">
        <v>12</v>
      </c>
      <c r="G43">
        <v>800</v>
      </c>
      <c r="H43">
        <v>3</v>
      </c>
      <c r="I43">
        <v>2400</v>
      </c>
      <c r="J43" t="s">
        <v>79</v>
      </c>
      <c r="K43" t="s">
        <v>6</v>
      </c>
      <c r="L43" t="s">
        <v>36</v>
      </c>
      <c r="M43" t="s">
        <v>37</v>
      </c>
    </row>
    <row r="44" spans="1:13" x14ac:dyDescent="0.25">
      <c r="A44" t="s">
        <v>287</v>
      </c>
      <c r="B44" s="2">
        <v>45739</v>
      </c>
      <c r="C44" t="s">
        <v>1</v>
      </c>
      <c r="D44" t="s">
        <v>39</v>
      </c>
      <c r="E44" t="s">
        <v>63</v>
      </c>
      <c r="F44" t="s">
        <v>59</v>
      </c>
      <c r="G44">
        <v>1200</v>
      </c>
      <c r="H44">
        <v>1</v>
      </c>
      <c r="I44">
        <v>1200</v>
      </c>
      <c r="J44" t="s">
        <v>55</v>
      </c>
      <c r="K44" t="s">
        <v>25</v>
      </c>
      <c r="L44" t="s">
        <v>36</v>
      </c>
      <c r="M44" t="s">
        <v>37</v>
      </c>
    </row>
    <row r="45" spans="1:13" x14ac:dyDescent="0.25">
      <c r="A45" t="s">
        <v>68</v>
      </c>
      <c r="B45" s="2">
        <v>45738</v>
      </c>
      <c r="C45" t="s">
        <v>1</v>
      </c>
      <c r="D45" t="s">
        <v>18</v>
      </c>
      <c r="E45" t="s">
        <v>3</v>
      </c>
      <c r="F45" t="s">
        <v>4</v>
      </c>
      <c r="G45">
        <v>60</v>
      </c>
      <c r="H45">
        <v>3</v>
      </c>
      <c r="I45">
        <v>180</v>
      </c>
      <c r="J45" t="s">
        <v>24</v>
      </c>
      <c r="K45" t="s">
        <v>35</v>
      </c>
      <c r="L45" t="s">
        <v>26</v>
      </c>
      <c r="M45" t="s">
        <v>37</v>
      </c>
    </row>
    <row r="46" spans="1:13" x14ac:dyDescent="0.25">
      <c r="A46" t="s">
        <v>237</v>
      </c>
      <c r="B46" s="2">
        <v>45738</v>
      </c>
      <c r="C46" t="s">
        <v>1</v>
      </c>
      <c r="D46" t="s">
        <v>18</v>
      </c>
      <c r="E46" t="s">
        <v>31</v>
      </c>
      <c r="F46" t="s">
        <v>32</v>
      </c>
      <c r="G46">
        <v>20</v>
      </c>
      <c r="H46">
        <v>1</v>
      </c>
      <c r="I46">
        <v>20</v>
      </c>
      <c r="J46" t="s">
        <v>71</v>
      </c>
      <c r="K46" t="s">
        <v>25</v>
      </c>
      <c r="L46" t="s">
        <v>7</v>
      </c>
      <c r="M46" t="s">
        <v>37</v>
      </c>
    </row>
    <row r="47" spans="1:13" x14ac:dyDescent="0.25">
      <c r="A47" t="s">
        <v>291</v>
      </c>
      <c r="B47" s="2">
        <v>45738</v>
      </c>
      <c r="C47" t="s">
        <v>1</v>
      </c>
      <c r="D47" t="s">
        <v>18</v>
      </c>
      <c r="E47" t="s">
        <v>29</v>
      </c>
      <c r="F47" t="s">
        <v>12</v>
      </c>
      <c r="G47">
        <v>150</v>
      </c>
      <c r="H47">
        <v>5</v>
      </c>
      <c r="I47">
        <v>750</v>
      </c>
      <c r="J47" t="s">
        <v>55</v>
      </c>
      <c r="K47" t="s">
        <v>35</v>
      </c>
      <c r="L47" t="s">
        <v>21</v>
      </c>
      <c r="M47" t="s">
        <v>37</v>
      </c>
    </row>
    <row r="48" spans="1:13" x14ac:dyDescent="0.25">
      <c r="A48" t="s">
        <v>167</v>
      </c>
      <c r="B48" s="2">
        <v>45737</v>
      </c>
      <c r="C48" t="s">
        <v>1</v>
      </c>
      <c r="D48" t="s">
        <v>2</v>
      </c>
      <c r="E48" t="s">
        <v>3</v>
      </c>
      <c r="F48" t="s">
        <v>4</v>
      </c>
      <c r="G48">
        <v>60</v>
      </c>
      <c r="H48">
        <v>3</v>
      </c>
      <c r="I48">
        <v>180</v>
      </c>
      <c r="J48" t="s">
        <v>24</v>
      </c>
      <c r="K48" t="s">
        <v>42</v>
      </c>
      <c r="L48" t="s">
        <v>21</v>
      </c>
      <c r="M48" t="s">
        <v>37</v>
      </c>
    </row>
    <row r="49" spans="1:13" x14ac:dyDescent="0.25">
      <c r="A49" t="s">
        <v>193</v>
      </c>
      <c r="B49" s="2">
        <v>45737</v>
      </c>
      <c r="C49" t="s">
        <v>1</v>
      </c>
      <c r="D49" t="s">
        <v>2</v>
      </c>
      <c r="E49" t="s">
        <v>40</v>
      </c>
      <c r="F49" t="s">
        <v>12</v>
      </c>
      <c r="G49">
        <v>500</v>
      </c>
      <c r="H49">
        <v>2</v>
      </c>
      <c r="I49">
        <v>1000</v>
      </c>
      <c r="J49" t="s">
        <v>19</v>
      </c>
      <c r="K49" t="s">
        <v>42</v>
      </c>
      <c r="L49" t="s">
        <v>36</v>
      </c>
      <c r="M49" t="s">
        <v>37</v>
      </c>
    </row>
    <row r="50" spans="1:13" x14ac:dyDescent="0.25">
      <c r="A50" t="s">
        <v>259</v>
      </c>
      <c r="B50" s="2">
        <v>45737</v>
      </c>
      <c r="C50" t="s">
        <v>1</v>
      </c>
      <c r="D50" t="s">
        <v>2</v>
      </c>
      <c r="E50" t="s">
        <v>58</v>
      </c>
      <c r="F50" t="s">
        <v>59</v>
      </c>
      <c r="G50">
        <v>600</v>
      </c>
      <c r="H50">
        <v>1</v>
      </c>
      <c r="I50">
        <v>600</v>
      </c>
      <c r="J50" t="s">
        <v>19</v>
      </c>
      <c r="K50" t="s">
        <v>42</v>
      </c>
      <c r="L50" t="s">
        <v>26</v>
      </c>
      <c r="M50" t="s">
        <v>37</v>
      </c>
    </row>
    <row r="51" spans="1:13" x14ac:dyDescent="0.25">
      <c r="A51" t="s">
        <v>281</v>
      </c>
      <c r="B51" s="2">
        <v>45737</v>
      </c>
      <c r="C51" t="s">
        <v>1</v>
      </c>
      <c r="D51" t="s">
        <v>2</v>
      </c>
      <c r="E51" t="s">
        <v>3</v>
      </c>
      <c r="F51" t="s">
        <v>4</v>
      </c>
      <c r="G51">
        <v>60</v>
      </c>
      <c r="H51">
        <v>3</v>
      </c>
      <c r="I51">
        <v>180</v>
      </c>
      <c r="J51" t="s">
        <v>5</v>
      </c>
      <c r="K51" t="s">
        <v>14</v>
      </c>
      <c r="L51" t="s">
        <v>26</v>
      </c>
      <c r="M51" t="s">
        <v>15</v>
      </c>
    </row>
    <row r="52" spans="1:13" x14ac:dyDescent="0.25">
      <c r="A52" t="s">
        <v>9</v>
      </c>
      <c r="B52" s="2">
        <v>45736</v>
      </c>
      <c r="C52" t="s">
        <v>1</v>
      </c>
      <c r="D52" t="s">
        <v>10</v>
      </c>
      <c r="E52" t="s">
        <v>11</v>
      </c>
      <c r="F52" t="s">
        <v>12</v>
      </c>
      <c r="G52">
        <v>100</v>
      </c>
      <c r="H52">
        <v>4</v>
      </c>
      <c r="I52">
        <v>400</v>
      </c>
      <c r="J52" t="s">
        <v>13</v>
      </c>
      <c r="K52" t="s">
        <v>14</v>
      </c>
      <c r="L52" t="s">
        <v>7</v>
      </c>
      <c r="M52" t="s">
        <v>15</v>
      </c>
    </row>
    <row r="53" spans="1:13" x14ac:dyDescent="0.25">
      <c r="A53" t="s">
        <v>129</v>
      </c>
      <c r="B53" s="2">
        <v>45736</v>
      </c>
      <c r="C53" t="s">
        <v>1</v>
      </c>
      <c r="D53" t="s">
        <v>10</v>
      </c>
      <c r="E53" t="s">
        <v>11</v>
      </c>
      <c r="F53" t="s">
        <v>12</v>
      </c>
      <c r="G53">
        <v>100</v>
      </c>
      <c r="H53">
        <v>2</v>
      </c>
      <c r="I53">
        <v>200</v>
      </c>
      <c r="J53" t="s">
        <v>55</v>
      </c>
      <c r="K53" t="s">
        <v>35</v>
      </c>
      <c r="L53" t="s">
        <v>26</v>
      </c>
      <c r="M53" t="s">
        <v>37</v>
      </c>
    </row>
    <row r="54" spans="1:13" x14ac:dyDescent="0.25">
      <c r="A54" t="s">
        <v>189</v>
      </c>
      <c r="B54" s="2">
        <v>45736</v>
      </c>
      <c r="C54" t="s">
        <v>1</v>
      </c>
      <c r="D54" t="s">
        <v>10</v>
      </c>
      <c r="E54" t="s">
        <v>29</v>
      </c>
      <c r="F54" t="s">
        <v>12</v>
      </c>
      <c r="G54">
        <v>150</v>
      </c>
      <c r="H54">
        <v>3</v>
      </c>
      <c r="I54">
        <v>450</v>
      </c>
      <c r="J54" t="s">
        <v>41</v>
      </c>
      <c r="K54" t="s">
        <v>14</v>
      </c>
      <c r="L54" t="s">
        <v>7</v>
      </c>
      <c r="M54" t="s">
        <v>37</v>
      </c>
    </row>
    <row r="55" spans="1:13" x14ac:dyDescent="0.25">
      <c r="A55" t="s">
        <v>201</v>
      </c>
      <c r="B55" s="2">
        <v>45736</v>
      </c>
      <c r="C55" t="s">
        <v>1</v>
      </c>
      <c r="D55" t="s">
        <v>10</v>
      </c>
      <c r="E55" t="s">
        <v>3</v>
      </c>
      <c r="F55" t="s">
        <v>4</v>
      </c>
      <c r="G55">
        <v>60</v>
      </c>
      <c r="H55">
        <v>3</v>
      </c>
      <c r="I55">
        <v>180</v>
      </c>
      <c r="J55" t="s">
        <v>52</v>
      </c>
      <c r="K55" t="s">
        <v>6</v>
      </c>
      <c r="L55" t="s">
        <v>56</v>
      </c>
      <c r="M55" t="s">
        <v>15</v>
      </c>
    </row>
    <row r="56" spans="1:13" x14ac:dyDescent="0.25">
      <c r="A56" t="s">
        <v>219</v>
      </c>
      <c r="B56" s="2">
        <v>45736</v>
      </c>
      <c r="C56" t="s">
        <v>1</v>
      </c>
      <c r="D56" t="s">
        <v>10</v>
      </c>
      <c r="E56" t="s">
        <v>63</v>
      </c>
      <c r="F56" t="s">
        <v>59</v>
      </c>
      <c r="G56">
        <v>1200</v>
      </c>
      <c r="H56">
        <v>2</v>
      </c>
      <c r="I56">
        <v>2400</v>
      </c>
      <c r="J56" t="s">
        <v>24</v>
      </c>
      <c r="K56" t="s">
        <v>61</v>
      </c>
      <c r="L56" t="s">
        <v>26</v>
      </c>
      <c r="M56" t="s">
        <v>37</v>
      </c>
    </row>
    <row r="57" spans="1:13" x14ac:dyDescent="0.25">
      <c r="A57" t="s">
        <v>108</v>
      </c>
      <c r="B57" s="2">
        <v>45735</v>
      </c>
      <c r="C57" t="s">
        <v>1</v>
      </c>
      <c r="D57" t="s">
        <v>23</v>
      </c>
      <c r="E57" t="s">
        <v>29</v>
      </c>
      <c r="F57" t="s">
        <v>12</v>
      </c>
      <c r="G57">
        <v>150</v>
      </c>
      <c r="H57">
        <v>2</v>
      </c>
      <c r="I57">
        <v>300</v>
      </c>
      <c r="J57" t="s">
        <v>5</v>
      </c>
      <c r="K57" t="s">
        <v>25</v>
      </c>
      <c r="L57" t="s">
        <v>26</v>
      </c>
      <c r="M57" t="s">
        <v>37</v>
      </c>
    </row>
    <row r="58" spans="1:13" x14ac:dyDescent="0.25">
      <c r="A58" t="s">
        <v>159</v>
      </c>
      <c r="B58" s="2">
        <v>45735</v>
      </c>
      <c r="C58" t="s">
        <v>1</v>
      </c>
      <c r="D58" t="s">
        <v>23</v>
      </c>
      <c r="E58" t="s">
        <v>51</v>
      </c>
      <c r="F58" t="s">
        <v>32</v>
      </c>
      <c r="G58">
        <v>40</v>
      </c>
      <c r="H58">
        <v>3</v>
      </c>
      <c r="I58">
        <v>120</v>
      </c>
      <c r="J58" t="s">
        <v>24</v>
      </c>
      <c r="K58" t="s">
        <v>25</v>
      </c>
      <c r="L58" t="s">
        <v>26</v>
      </c>
      <c r="M58" t="s">
        <v>8</v>
      </c>
    </row>
    <row r="59" spans="1:13" x14ac:dyDescent="0.25">
      <c r="A59" t="s">
        <v>165</v>
      </c>
      <c r="B59" s="2">
        <v>45735</v>
      </c>
      <c r="C59" t="s">
        <v>1</v>
      </c>
      <c r="D59" t="s">
        <v>23</v>
      </c>
      <c r="E59" t="s">
        <v>47</v>
      </c>
      <c r="F59" t="s">
        <v>48</v>
      </c>
      <c r="G59">
        <v>15</v>
      </c>
      <c r="H59">
        <v>5</v>
      </c>
      <c r="I59">
        <v>75</v>
      </c>
      <c r="J59" t="s">
        <v>49</v>
      </c>
      <c r="K59" t="s">
        <v>14</v>
      </c>
      <c r="L59" t="s">
        <v>7</v>
      </c>
      <c r="M59" t="s">
        <v>15</v>
      </c>
    </row>
    <row r="60" spans="1:13" x14ac:dyDescent="0.25">
      <c r="A60" t="s">
        <v>168</v>
      </c>
      <c r="B60" s="2">
        <v>45735</v>
      </c>
      <c r="C60" t="s">
        <v>1</v>
      </c>
      <c r="D60" t="s">
        <v>23</v>
      </c>
      <c r="E60" t="s">
        <v>54</v>
      </c>
      <c r="F60" t="s">
        <v>12</v>
      </c>
      <c r="G60">
        <v>800</v>
      </c>
      <c r="H60">
        <v>4</v>
      </c>
      <c r="I60">
        <v>3200</v>
      </c>
      <c r="J60" t="s">
        <v>5</v>
      </c>
      <c r="K60" t="s">
        <v>67</v>
      </c>
      <c r="L60" t="s">
        <v>21</v>
      </c>
      <c r="M60" t="s">
        <v>37</v>
      </c>
    </row>
    <row r="61" spans="1:13" x14ac:dyDescent="0.25">
      <c r="A61" t="s">
        <v>192</v>
      </c>
      <c r="B61" s="2">
        <v>45735</v>
      </c>
      <c r="C61" t="s">
        <v>1</v>
      </c>
      <c r="D61" t="s">
        <v>23</v>
      </c>
      <c r="E61" t="s">
        <v>29</v>
      </c>
      <c r="F61" t="s">
        <v>12</v>
      </c>
      <c r="G61">
        <v>150</v>
      </c>
      <c r="H61">
        <v>2</v>
      </c>
      <c r="I61">
        <v>300</v>
      </c>
      <c r="J61" t="s">
        <v>24</v>
      </c>
      <c r="K61" t="s">
        <v>42</v>
      </c>
      <c r="L61" t="s">
        <v>7</v>
      </c>
      <c r="M61" t="s">
        <v>37</v>
      </c>
    </row>
    <row r="62" spans="1:13" x14ac:dyDescent="0.25">
      <c r="A62" t="s">
        <v>269</v>
      </c>
      <c r="B62" s="2">
        <v>45735</v>
      </c>
      <c r="C62" t="s">
        <v>1</v>
      </c>
      <c r="D62" t="s">
        <v>23</v>
      </c>
      <c r="E62" t="s">
        <v>3</v>
      </c>
      <c r="F62" t="s">
        <v>4</v>
      </c>
      <c r="G62">
        <v>60</v>
      </c>
      <c r="H62">
        <v>2</v>
      </c>
      <c r="I62">
        <v>120</v>
      </c>
      <c r="J62" t="s">
        <v>5</v>
      </c>
      <c r="K62" t="s">
        <v>44</v>
      </c>
      <c r="L62" t="s">
        <v>56</v>
      </c>
      <c r="M62" t="s">
        <v>15</v>
      </c>
    </row>
    <row r="63" spans="1:13" x14ac:dyDescent="0.25">
      <c r="A63" t="s">
        <v>33</v>
      </c>
      <c r="B63" s="2">
        <v>45734</v>
      </c>
      <c r="C63" t="s">
        <v>1</v>
      </c>
      <c r="D63" t="s">
        <v>34</v>
      </c>
      <c r="E63" t="s">
        <v>29</v>
      </c>
      <c r="F63" t="s">
        <v>12</v>
      </c>
      <c r="G63">
        <v>150</v>
      </c>
      <c r="H63">
        <v>4</v>
      </c>
      <c r="I63">
        <v>600</v>
      </c>
      <c r="J63" t="s">
        <v>5</v>
      </c>
      <c r="K63" t="s">
        <v>35</v>
      </c>
      <c r="L63" t="s">
        <v>36</v>
      </c>
      <c r="M63" t="s">
        <v>37</v>
      </c>
    </row>
    <row r="64" spans="1:13" x14ac:dyDescent="0.25">
      <c r="A64" t="s">
        <v>130</v>
      </c>
      <c r="B64" s="2">
        <v>45734</v>
      </c>
      <c r="C64" t="s">
        <v>1</v>
      </c>
      <c r="D64" t="s">
        <v>34</v>
      </c>
      <c r="E64" t="s">
        <v>29</v>
      </c>
      <c r="F64" t="s">
        <v>12</v>
      </c>
      <c r="G64">
        <v>150</v>
      </c>
      <c r="H64">
        <v>2</v>
      </c>
      <c r="I64">
        <v>300</v>
      </c>
      <c r="J64" t="s">
        <v>5</v>
      </c>
      <c r="K64" t="s">
        <v>67</v>
      </c>
      <c r="L64" t="s">
        <v>56</v>
      </c>
      <c r="M64" t="s">
        <v>8</v>
      </c>
    </row>
    <row r="65" spans="1:13" x14ac:dyDescent="0.25">
      <c r="A65" t="s">
        <v>191</v>
      </c>
      <c r="B65" s="2">
        <v>45734</v>
      </c>
      <c r="C65" t="s">
        <v>1</v>
      </c>
      <c r="D65" t="s">
        <v>34</v>
      </c>
      <c r="E65" t="s">
        <v>54</v>
      </c>
      <c r="F65" t="s">
        <v>12</v>
      </c>
      <c r="G65">
        <v>800</v>
      </c>
      <c r="H65">
        <v>2</v>
      </c>
      <c r="I65">
        <v>1600</v>
      </c>
      <c r="J65" t="s">
        <v>52</v>
      </c>
      <c r="K65" t="s">
        <v>20</v>
      </c>
      <c r="L65" t="s">
        <v>36</v>
      </c>
      <c r="M65" t="s">
        <v>8</v>
      </c>
    </row>
    <row r="66" spans="1:13" x14ac:dyDescent="0.25">
      <c r="A66" t="s">
        <v>276</v>
      </c>
      <c r="B66" s="2">
        <v>45734</v>
      </c>
      <c r="C66" t="s">
        <v>1</v>
      </c>
      <c r="D66" t="s">
        <v>34</v>
      </c>
      <c r="E66" t="s">
        <v>63</v>
      </c>
      <c r="F66" t="s">
        <v>59</v>
      </c>
      <c r="G66">
        <v>1200</v>
      </c>
      <c r="H66">
        <v>1</v>
      </c>
      <c r="I66">
        <v>1200</v>
      </c>
      <c r="J66" t="s">
        <v>79</v>
      </c>
      <c r="K66" t="s">
        <v>42</v>
      </c>
      <c r="L66" t="s">
        <v>36</v>
      </c>
      <c r="M66" t="s">
        <v>37</v>
      </c>
    </row>
    <row r="67" spans="1:13" x14ac:dyDescent="0.25">
      <c r="A67" t="s">
        <v>94</v>
      </c>
      <c r="B67" s="2">
        <v>45733</v>
      </c>
      <c r="C67" t="s">
        <v>1</v>
      </c>
      <c r="D67" t="s">
        <v>28</v>
      </c>
      <c r="E67" t="s">
        <v>11</v>
      </c>
      <c r="F67" t="s">
        <v>12</v>
      </c>
      <c r="G67">
        <v>100</v>
      </c>
      <c r="H67">
        <v>3</v>
      </c>
      <c r="I67">
        <v>300</v>
      </c>
      <c r="J67" t="s">
        <v>79</v>
      </c>
      <c r="K67" t="s">
        <v>80</v>
      </c>
      <c r="L67" t="s">
        <v>21</v>
      </c>
      <c r="M67" t="s">
        <v>8</v>
      </c>
    </row>
    <row r="68" spans="1:13" x14ac:dyDescent="0.25">
      <c r="A68" t="s">
        <v>161</v>
      </c>
      <c r="B68" s="2">
        <v>45733</v>
      </c>
      <c r="C68" t="s">
        <v>1</v>
      </c>
      <c r="D68" t="s">
        <v>28</v>
      </c>
      <c r="E68" t="s">
        <v>51</v>
      </c>
      <c r="F68" t="s">
        <v>32</v>
      </c>
      <c r="G68">
        <v>40</v>
      </c>
      <c r="H68">
        <v>5</v>
      </c>
      <c r="I68">
        <v>200</v>
      </c>
      <c r="J68" t="s">
        <v>52</v>
      </c>
      <c r="K68" t="s">
        <v>6</v>
      </c>
      <c r="L68" t="s">
        <v>36</v>
      </c>
      <c r="M68" t="s">
        <v>37</v>
      </c>
    </row>
    <row r="69" spans="1:13" x14ac:dyDescent="0.25">
      <c r="A69" t="s">
        <v>298</v>
      </c>
      <c r="B69" s="2">
        <v>45733</v>
      </c>
      <c r="C69" t="s">
        <v>1</v>
      </c>
      <c r="D69" t="s">
        <v>28</v>
      </c>
      <c r="E69" t="s">
        <v>31</v>
      </c>
      <c r="F69" t="s">
        <v>32</v>
      </c>
      <c r="G69">
        <v>20</v>
      </c>
      <c r="H69">
        <v>2</v>
      </c>
      <c r="I69">
        <v>40</v>
      </c>
      <c r="J69" t="s">
        <v>55</v>
      </c>
      <c r="K69" t="s">
        <v>42</v>
      </c>
      <c r="L69" t="s">
        <v>7</v>
      </c>
      <c r="M69" t="s">
        <v>8</v>
      </c>
    </row>
    <row r="70" spans="1:13" x14ac:dyDescent="0.25">
      <c r="A70" t="s">
        <v>117</v>
      </c>
      <c r="B70" s="2">
        <v>45732</v>
      </c>
      <c r="C70" t="s">
        <v>1</v>
      </c>
      <c r="D70" t="s">
        <v>39</v>
      </c>
      <c r="E70" t="s">
        <v>47</v>
      </c>
      <c r="F70" t="s">
        <v>48</v>
      </c>
      <c r="G70">
        <v>15</v>
      </c>
      <c r="H70">
        <v>3</v>
      </c>
      <c r="I70">
        <v>45</v>
      </c>
      <c r="J70" t="s">
        <v>5</v>
      </c>
      <c r="K70" t="s">
        <v>14</v>
      </c>
      <c r="L70" t="s">
        <v>21</v>
      </c>
      <c r="M70" t="s">
        <v>15</v>
      </c>
    </row>
    <row r="71" spans="1:13" x14ac:dyDescent="0.25">
      <c r="A71" t="s">
        <v>123</v>
      </c>
      <c r="B71" s="2">
        <v>45732</v>
      </c>
      <c r="C71" t="s">
        <v>1</v>
      </c>
      <c r="D71" t="s">
        <v>39</v>
      </c>
      <c r="E71" t="s">
        <v>29</v>
      </c>
      <c r="F71" t="s">
        <v>12</v>
      </c>
      <c r="G71">
        <v>150</v>
      </c>
      <c r="H71">
        <v>5</v>
      </c>
      <c r="I71">
        <v>750</v>
      </c>
      <c r="J71" t="s">
        <v>19</v>
      </c>
      <c r="K71" t="s">
        <v>20</v>
      </c>
      <c r="L71" t="s">
        <v>26</v>
      </c>
      <c r="M71" t="s">
        <v>15</v>
      </c>
    </row>
    <row r="72" spans="1:13" x14ac:dyDescent="0.25">
      <c r="A72" t="s">
        <v>157</v>
      </c>
      <c r="B72" s="2">
        <v>45732</v>
      </c>
      <c r="C72" t="s">
        <v>1</v>
      </c>
      <c r="D72" t="s">
        <v>39</v>
      </c>
      <c r="E72" t="s">
        <v>51</v>
      </c>
      <c r="F72" t="s">
        <v>32</v>
      </c>
      <c r="G72">
        <v>40</v>
      </c>
      <c r="H72">
        <v>1</v>
      </c>
      <c r="I72">
        <v>40</v>
      </c>
      <c r="J72" t="s">
        <v>79</v>
      </c>
      <c r="K72" t="s">
        <v>44</v>
      </c>
      <c r="L72" t="s">
        <v>7</v>
      </c>
      <c r="M72" t="s">
        <v>15</v>
      </c>
    </row>
    <row r="73" spans="1:13" x14ac:dyDescent="0.25">
      <c r="A73" t="s">
        <v>160</v>
      </c>
      <c r="B73" s="2">
        <v>45732</v>
      </c>
      <c r="C73" t="s">
        <v>1</v>
      </c>
      <c r="D73" t="s">
        <v>39</v>
      </c>
      <c r="E73" t="s">
        <v>11</v>
      </c>
      <c r="F73" t="s">
        <v>12</v>
      </c>
      <c r="G73">
        <v>100</v>
      </c>
      <c r="H73">
        <v>2</v>
      </c>
      <c r="I73">
        <v>200</v>
      </c>
      <c r="J73" t="s">
        <v>55</v>
      </c>
      <c r="K73" t="s">
        <v>42</v>
      </c>
      <c r="L73" t="s">
        <v>36</v>
      </c>
      <c r="M73" t="s">
        <v>15</v>
      </c>
    </row>
    <row r="74" spans="1:13" x14ac:dyDescent="0.25">
      <c r="A74" t="s">
        <v>171</v>
      </c>
      <c r="B74" s="2">
        <v>45732</v>
      </c>
      <c r="C74" t="s">
        <v>1</v>
      </c>
      <c r="D74" t="s">
        <v>39</v>
      </c>
      <c r="E74" t="s">
        <v>40</v>
      </c>
      <c r="F74" t="s">
        <v>12</v>
      </c>
      <c r="G74">
        <v>500</v>
      </c>
      <c r="H74">
        <v>2</v>
      </c>
      <c r="I74">
        <v>1000</v>
      </c>
      <c r="J74" t="s">
        <v>71</v>
      </c>
      <c r="K74" t="s">
        <v>80</v>
      </c>
      <c r="L74" t="s">
        <v>36</v>
      </c>
      <c r="M74" t="s">
        <v>15</v>
      </c>
    </row>
    <row r="75" spans="1:13" x14ac:dyDescent="0.25">
      <c r="A75" t="s">
        <v>208</v>
      </c>
      <c r="B75" s="2">
        <v>45732</v>
      </c>
      <c r="C75" t="s">
        <v>1</v>
      </c>
      <c r="D75" t="s">
        <v>39</v>
      </c>
      <c r="E75" t="s">
        <v>29</v>
      </c>
      <c r="F75" t="s">
        <v>12</v>
      </c>
      <c r="G75">
        <v>150</v>
      </c>
      <c r="H75">
        <v>4</v>
      </c>
      <c r="I75">
        <v>600</v>
      </c>
      <c r="J75" t="s">
        <v>24</v>
      </c>
      <c r="K75" t="s">
        <v>42</v>
      </c>
      <c r="L75" t="s">
        <v>36</v>
      </c>
      <c r="M75" t="s">
        <v>8</v>
      </c>
    </row>
    <row r="76" spans="1:13" x14ac:dyDescent="0.25">
      <c r="A76" t="s">
        <v>290</v>
      </c>
      <c r="B76" s="2">
        <v>45732</v>
      </c>
      <c r="C76" t="s">
        <v>1</v>
      </c>
      <c r="D76" t="s">
        <v>39</v>
      </c>
      <c r="E76" t="s">
        <v>11</v>
      </c>
      <c r="F76" t="s">
        <v>12</v>
      </c>
      <c r="G76">
        <v>100</v>
      </c>
      <c r="H76">
        <v>1</v>
      </c>
      <c r="I76">
        <v>100</v>
      </c>
      <c r="J76" t="s">
        <v>24</v>
      </c>
      <c r="K76" t="s">
        <v>20</v>
      </c>
      <c r="L76" t="s">
        <v>36</v>
      </c>
      <c r="M76" t="s">
        <v>37</v>
      </c>
    </row>
    <row r="77" spans="1:13" x14ac:dyDescent="0.25">
      <c r="A77" t="s">
        <v>97</v>
      </c>
      <c r="B77" s="2">
        <v>45731</v>
      </c>
      <c r="C77" t="s">
        <v>1</v>
      </c>
      <c r="D77" t="s">
        <v>18</v>
      </c>
      <c r="E77" t="s">
        <v>63</v>
      </c>
      <c r="F77" t="s">
        <v>59</v>
      </c>
      <c r="G77">
        <v>1200</v>
      </c>
      <c r="H77">
        <v>3</v>
      </c>
      <c r="I77">
        <v>3600</v>
      </c>
      <c r="J77" t="s">
        <v>55</v>
      </c>
      <c r="K77" t="s">
        <v>6</v>
      </c>
      <c r="L77" t="s">
        <v>26</v>
      </c>
      <c r="M77" t="s">
        <v>15</v>
      </c>
    </row>
    <row r="78" spans="1:13" x14ac:dyDescent="0.25">
      <c r="A78" t="s">
        <v>106</v>
      </c>
      <c r="B78" s="2">
        <v>45731</v>
      </c>
      <c r="C78" t="s">
        <v>1</v>
      </c>
      <c r="D78" t="s">
        <v>18</v>
      </c>
      <c r="E78" t="s">
        <v>29</v>
      </c>
      <c r="F78" t="s">
        <v>12</v>
      </c>
      <c r="G78">
        <v>150</v>
      </c>
      <c r="H78">
        <v>3</v>
      </c>
      <c r="I78">
        <v>450</v>
      </c>
      <c r="J78" t="s">
        <v>49</v>
      </c>
      <c r="K78" t="s">
        <v>44</v>
      </c>
      <c r="L78" t="s">
        <v>56</v>
      </c>
      <c r="M78" t="s">
        <v>15</v>
      </c>
    </row>
    <row r="79" spans="1:13" x14ac:dyDescent="0.25">
      <c r="A79" t="s">
        <v>107</v>
      </c>
      <c r="B79" s="2">
        <v>45731</v>
      </c>
      <c r="C79" t="s">
        <v>1</v>
      </c>
      <c r="D79" t="s">
        <v>18</v>
      </c>
      <c r="E79" t="s">
        <v>51</v>
      </c>
      <c r="F79" t="s">
        <v>32</v>
      </c>
      <c r="G79">
        <v>40</v>
      </c>
      <c r="H79">
        <v>2</v>
      </c>
      <c r="I79">
        <v>80</v>
      </c>
      <c r="J79" t="s">
        <v>41</v>
      </c>
      <c r="K79" t="s">
        <v>25</v>
      </c>
      <c r="L79" t="s">
        <v>36</v>
      </c>
      <c r="M79" t="s">
        <v>37</v>
      </c>
    </row>
    <row r="80" spans="1:13" x14ac:dyDescent="0.25">
      <c r="A80" t="s">
        <v>109</v>
      </c>
      <c r="B80" s="2">
        <v>45731</v>
      </c>
      <c r="C80" t="s">
        <v>1</v>
      </c>
      <c r="D80" t="s">
        <v>18</v>
      </c>
      <c r="E80" t="s">
        <v>40</v>
      </c>
      <c r="F80" t="s">
        <v>12</v>
      </c>
      <c r="G80">
        <v>500</v>
      </c>
      <c r="H80">
        <v>1</v>
      </c>
      <c r="I80">
        <v>500</v>
      </c>
      <c r="J80" t="s">
        <v>79</v>
      </c>
      <c r="K80" t="s">
        <v>67</v>
      </c>
      <c r="L80" t="s">
        <v>7</v>
      </c>
      <c r="M80" t="s">
        <v>8</v>
      </c>
    </row>
    <row r="81" spans="1:13" x14ac:dyDescent="0.25">
      <c r="A81" t="s">
        <v>144</v>
      </c>
      <c r="B81" s="2">
        <v>45731</v>
      </c>
      <c r="C81" t="s">
        <v>1</v>
      </c>
      <c r="D81" t="s">
        <v>18</v>
      </c>
      <c r="E81" t="s">
        <v>40</v>
      </c>
      <c r="F81" t="s">
        <v>12</v>
      </c>
      <c r="G81">
        <v>500</v>
      </c>
      <c r="H81">
        <v>2</v>
      </c>
      <c r="I81">
        <v>1000</v>
      </c>
      <c r="J81" t="s">
        <v>24</v>
      </c>
      <c r="K81" t="s">
        <v>44</v>
      </c>
      <c r="L81" t="s">
        <v>36</v>
      </c>
      <c r="M81" t="s">
        <v>8</v>
      </c>
    </row>
    <row r="82" spans="1:13" x14ac:dyDescent="0.25">
      <c r="A82" t="s">
        <v>158</v>
      </c>
      <c r="B82" s="2">
        <v>45731</v>
      </c>
      <c r="C82" t="s">
        <v>1</v>
      </c>
      <c r="D82" t="s">
        <v>18</v>
      </c>
      <c r="E82" t="s">
        <v>31</v>
      </c>
      <c r="F82" t="s">
        <v>32</v>
      </c>
      <c r="G82">
        <v>20</v>
      </c>
      <c r="H82">
        <v>3</v>
      </c>
      <c r="I82">
        <v>60</v>
      </c>
      <c r="J82" t="s">
        <v>24</v>
      </c>
      <c r="K82" t="s">
        <v>80</v>
      </c>
      <c r="L82" t="s">
        <v>36</v>
      </c>
      <c r="M82" t="s">
        <v>15</v>
      </c>
    </row>
    <row r="83" spans="1:13" x14ac:dyDescent="0.25">
      <c r="A83" t="s">
        <v>194</v>
      </c>
      <c r="B83" s="2">
        <v>45731</v>
      </c>
      <c r="C83" t="s">
        <v>1</v>
      </c>
      <c r="D83" t="s">
        <v>18</v>
      </c>
      <c r="E83" t="s">
        <v>40</v>
      </c>
      <c r="F83" t="s">
        <v>12</v>
      </c>
      <c r="G83">
        <v>500</v>
      </c>
      <c r="H83">
        <v>3</v>
      </c>
      <c r="I83">
        <v>1500</v>
      </c>
      <c r="J83" t="s">
        <v>41</v>
      </c>
      <c r="K83" t="s">
        <v>42</v>
      </c>
      <c r="L83" t="s">
        <v>56</v>
      </c>
      <c r="M83" t="s">
        <v>37</v>
      </c>
    </row>
    <row r="84" spans="1:13" x14ac:dyDescent="0.25">
      <c r="A84" t="s">
        <v>0</v>
      </c>
      <c r="B84" s="2">
        <v>45730</v>
      </c>
      <c r="C84" t="s">
        <v>1</v>
      </c>
      <c r="D84" t="s">
        <v>2</v>
      </c>
      <c r="E84" t="s">
        <v>3</v>
      </c>
      <c r="F84" t="s">
        <v>4</v>
      </c>
      <c r="G84">
        <v>60</v>
      </c>
      <c r="H84">
        <v>3</v>
      </c>
      <c r="I84">
        <v>180</v>
      </c>
      <c r="J84" t="s">
        <v>5</v>
      </c>
      <c r="K84" t="s">
        <v>6</v>
      </c>
      <c r="L84" t="s">
        <v>7</v>
      </c>
      <c r="M84" t="s">
        <v>8</v>
      </c>
    </row>
    <row r="85" spans="1:13" x14ac:dyDescent="0.25">
      <c r="A85" t="s">
        <v>30</v>
      </c>
      <c r="B85" s="2">
        <v>45730</v>
      </c>
      <c r="C85" t="s">
        <v>1</v>
      </c>
      <c r="D85" t="s">
        <v>2</v>
      </c>
      <c r="E85" t="s">
        <v>31</v>
      </c>
      <c r="F85" t="s">
        <v>32</v>
      </c>
      <c r="G85">
        <v>20</v>
      </c>
      <c r="H85">
        <v>1</v>
      </c>
      <c r="I85">
        <v>20</v>
      </c>
      <c r="J85" t="s">
        <v>19</v>
      </c>
      <c r="K85" t="s">
        <v>25</v>
      </c>
      <c r="L85" t="s">
        <v>26</v>
      </c>
      <c r="M85" t="s">
        <v>15</v>
      </c>
    </row>
    <row r="86" spans="1:13" x14ac:dyDescent="0.25">
      <c r="A86" t="s">
        <v>102</v>
      </c>
      <c r="B86" s="2">
        <v>45730</v>
      </c>
      <c r="C86" t="s">
        <v>1</v>
      </c>
      <c r="D86" t="s">
        <v>2</v>
      </c>
      <c r="E86" t="s">
        <v>51</v>
      </c>
      <c r="F86" t="s">
        <v>32</v>
      </c>
      <c r="G86">
        <v>40</v>
      </c>
      <c r="H86">
        <v>3</v>
      </c>
      <c r="I86">
        <v>120</v>
      </c>
      <c r="J86" t="s">
        <v>19</v>
      </c>
      <c r="K86" t="s">
        <v>44</v>
      </c>
      <c r="L86" t="s">
        <v>56</v>
      </c>
      <c r="M86" t="s">
        <v>37</v>
      </c>
    </row>
    <row r="87" spans="1:13" x14ac:dyDescent="0.25">
      <c r="A87" t="s">
        <v>118</v>
      </c>
      <c r="B87" s="2">
        <v>45730</v>
      </c>
      <c r="C87" t="s">
        <v>1</v>
      </c>
      <c r="D87" t="s">
        <v>2</v>
      </c>
      <c r="E87" t="s">
        <v>29</v>
      </c>
      <c r="F87" t="s">
        <v>12</v>
      </c>
      <c r="G87">
        <v>150</v>
      </c>
      <c r="H87">
        <v>2</v>
      </c>
      <c r="I87">
        <v>300</v>
      </c>
      <c r="J87" t="s">
        <v>52</v>
      </c>
      <c r="K87" t="s">
        <v>20</v>
      </c>
      <c r="L87" t="s">
        <v>36</v>
      </c>
      <c r="M87" t="s">
        <v>15</v>
      </c>
    </row>
    <row r="88" spans="1:13" x14ac:dyDescent="0.25">
      <c r="A88" t="s">
        <v>155</v>
      </c>
      <c r="B88" s="2">
        <v>45730</v>
      </c>
      <c r="C88" t="s">
        <v>1</v>
      </c>
      <c r="D88" t="s">
        <v>2</v>
      </c>
      <c r="E88" t="s">
        <v>31</v>
      </c>
      <c r="F88" t="s">
        <v>32</v>
      </c>
      <c r="G88">
        <v>20</v>
      </c>
      <c r="H88">
        <v>2</v>
      </c>
      <c r="I88">
        <v>40</v>
      </c>
      <c r="J88" t="s">
        <v>52</v>
      </c>
      <c r="K88" t="s">
        <v>80</v>
      </c>
      <c r="L88" t="s">
        <v>36</v>
      </c>
      <c r="M88" t="s">
        <v>15</v>
      </c>
    </row>
    <row r="89" spans="1:13" x14ac:dyDescent="0.25">
      <c r="A89" t="s">
        <v>217</v>
      </c>
      <c r="B89" s="2">
        <v>45730</v>
      </c>
      <c r="C89" t="s">
        <v>1</v>
      </c>
      <c r="D89" t="s">
        <v>2</v>
      </c>
      <c r="E89" t="s">
        <v>47</v>
      </c>
      <c r="F89" t="s">
        <v>48</v>
      </c>
      <c r="G89">
        <v>15</v>
      </c>
      <c r="H89">
        <v>1</v>
      </c>
      <c r="I89">
        <v>15</v>
      </c>
      <c r="J89" t="s">
        <v>49</v>
      </c>
      <c r="K89" t="s">
        <v>6</v>
      </c>
      <c r="L89" t="s">
        <v>21</v>
      </c>
      <c r="M89" t="s">
        <v>15</v>
      </c>
    </row>
    <row r="90" spans="1:13" x14ac:dyDescent="0.25">
      <c r="A90" t="s">
        <v>229</v>
      </c>
      <c r="B90" s="2">
        <v>45730</v>
      </c>
      <c r="C90" t="s">
        <v>1</v>
      </c>
      <c r="D90" t="s">
        <v>2</v>
      </c>
      <c r="E90" t="s">
        <v>47</v>
      </c>
      <c r="F90" t="s">
        <v>48</v>
      </c>
      <c r="G90">
        <v>15</v>
      </c>
      <c r="H90">
        <v>5</v>
      </c>
      <c r="I90">
        <v>75</v>
      </c>
      <c r="J90" t="s">
        <v>49</v>
      </c>
      <c r="K90" t="s">
        <v>14</v>
      </c>
      <c r="L90" t="s">
        <v>26</v>
      </c>
      <c r="M90" t="s">
        <v>15</v>
      </c>
    </row>
    <row r="91" spans="1:13" x14ac:dyDescent="0.25">
      <c r="A91" t="s">
        <v>284</v>
      </c>
      <c r="B91" s="2">
        <v>45730</v>
      </c>
      <c r="C91" t="s">
        <v>1</v>
      </c>
      <c r="D91" t="s">
        <v>2</v>
      </c>
      <c r="E91" t="s">
        <v>63</v>
      </c>
      <c r="F91" t="s">
        <v>59</v>
      </c>
      <c r="G91">
        <v>1200</v>
      </c>
      <c r="H91">
        <v>3</v>
      </c>
      <c r="I91">
        <v>3600</v>
      </c>
      <c r="J91" t="s">
        <v>5</v>
      </c>
      <c r="K91" t="s">
        <v>67</v>
      </c>
      <c r="L91" t="s">
        <v>26</v>
      </c>
      <c r="M91" t="s">
        <v>37</v>
      </c>
    </row>
    <row r="92" spans="1:13" x14ac:dyDescent="0.25">
      <c r="A92" t="s">
        <v>50</v>
      </c>
      <c r="B92" s="2">
        <v>45729</v>
      </c>
      <c r="C92" t="s">
        <v>1</v>
      </c>
      <c r="D92" t="s">
        <v>10</v>
      </c>
      <c r="E92" t="s">
        <v>51</v>
      </c>
      <c r="F92" t="s">
        <v>32</v>
      </c>
      <c r="G92">
        <v>40</v>
      </c>
      <c r="H92">
        <v>4</v>
      </c>
      <c r="I92">
        <v>160</v>
      </c>
      <c r="J92" t="s">
        <v>52</v>
      </c>
      <c r="K92" t="s">
        <v>25</v>
      </c>
      <c r="L92" t="s">
        <v>26</v>
      </c>
      <c r="M92" t="s">
        <v>37</v>
      </c>
    </row>
    <row r="93" spans="1:13" x14ac:dyDescent="0.25">
      <c r="A93" t="s">
        <v>110</v>
      </c>
      <c r="B93" s="2">
        <v>45729</v>
      </c>
      <c r="C93" t="s">
        <v>1</v>
      </c>
      <c r="D93" t="s">
        <v>10</v>
      </c>
      <c r="E93" t="s">
        <v>40</v>
      </c>
      <c r="F93" t="s">
        <v>12</v>
      </c>
      <c r="G93">
        <v>500</v>
      </c>
      <c r="H93">
        <v>1</v>
      </c>
      <c r="I93">
        <v>500</v>
      </c>
      <c r="J93" t="s">
        <v>79</v>
      </c>
      <c r="K93" t="s">
        <v>80</v>
      </c>
      <c r="L93" t="s">
        <v>36</v>
      </c>
      <c r="M93" t="s">
        <v>8</v>
      </c>
    </row>
    <row r="94" spans="1:13" x14ac:dyDescent="0.25">
      <c r="A94" t="s">
        <v>139</v>
      </c>
      <c r="B94" s="2">
        <v>45729</v>
      </c>
      <c r="C94" t="s">
        <v>1</v>
      </c>
      <c r="D94" t="s">
        <v>10</v>
      </c>
      <c r="E94" t="s">
        <v>3</v>
      </c>
      <c r="F94" t="s">
        <v>4</v>
      </c>
      <c r="G94">
        <v>60</v>
      </c>
      <c r="H94">
        <v>5</v>
      </c>
      <c r="I94">
        <v>300</v>
      </c>
      <c r="J94" t="s">
        <v>5</v>
      </c>
      <c r="K94" t="s">
        <v>42</v>
      </c>
      <c r="L94" t="s">
        <v>7</v>
      </c>
      <c r="M94" t="s">
        <v>37</v>
      </c>
    </row>
    <row r="95" spans="1:13" x14ac:dyDescent="0.25">
      <c r="A95" t="s">
        <v>226</v>
      </c>
      <c r="B95" s="2">
        <v>45729</v>
      </c>
      <c r="C95" t="s">
        <v>1</v>
      </c>
      <c r="D95" t="s">
        <v>10</v>
      </c>
      <c r="E95" t="s">
        <v>29</v>
      </c>
      <c r="F95" t="s">
        <v>12</v>
      </c>
      <c r="G95">
        <v>150</v>
      </c>
      <c r="H95">
        <v>2</v>
      </c>
      <c r="I95">
        <v>300</v>
      </c>
      <c r="J95" t="s">
        <v>49</v>
      </c>
      <c r="K95" t="s">
        <v>80</v>
      </c>
      <c r="L95" t="s">
        <v>7</v>
      </c>
      <c r="M95" t="s">
        <v>15</v>
      </c>
    </row>
    <row r="96" spans="1:13" x14ac:dyDescent="0.25">
      <c r="A96" t="s">
        <v>239</v>
      </c>
      <c r="B96" s="2">
        <v>45729</v>
      </c>
      <c r="C96" t="s">
        <v>1</v>
      </c>
      <c r="D96" t="s">
        <v>10</v>
      </c>
      <c r="E96" t="s">
        <v>54</v>
      </c>
      <c r="F96" t="s">
        <v>12</v>
      </c>
      <c r="G96">
        <v>800</v>
      </c>
      <c r="H96">
        <v>3</v>
      </c>
      <c r="I96">
        <v>2400</v>
      </c>
      <c r="J96" t="s">
        <v>19</v>
      </c>
      <c r="K96" t="s">
        <v>6</v>
      </c>
      <c r="L96" t="s">
        <v>36</v>
      </c>
      <c r="M96" t="s">
        <v>15</v>
      </c>
    </row>
    <row r="97" spans="1:13" x14ac:dyDescent="0.25">
      <c r="A97" t="s">
        <v>263</v>
      </c>
      <c r="B97" s="2">
        <v>45729</v>
      </c>
      <c r="C97" t="s">
        <v>1</v>
      </c>
      <c r="D97" t="s">
        <v>10</v>
      </c>
      <c r="E97" t="s">
        <v>40</v>
      </c>
      <c r="F97" t="s">
        <v>12</v>
      </c>
      <c r="G97">
        <v>500</v>
      </c>
      <c r="H97">
        <v>1</v>
      </c>
      <c r="I97">
        <v>500</v>
      </c>
      <c r="J97" t="s">
        <v>49</v>
      </c>
      <c r="K97" t="s">
        <v>42</v>
      </c>
      <c r="L97" t="s">
        <v>56</v>
      </c>
      <c r="M97" t="s">
        <v>15</v>
      </c>
    </row>
    <row r="98" spans="1:13" x14ac:dyDescent="0.25">
      <c r="A98" t="s">
        <v>45</v>
      </c>
      <c r="B98" s="2">
        <v>45728</v>
      </c>
      <c r="C98" t="s">
        <v>1</v>
      </c>
      <c r="D98" t="s">
        <v>23</v>
      </c>
      <c r="E98" t="s">
        <v>40</v>
      </c>
      <c r="F98" t="s">
        <v>12</v>
      </c>
      <c r="G98">
        <v>500</v>
      </c>
      <c r="H98">
        <v>1</v>
      </c>
      <c r="I98">
        <v>500</v>
      </c>
      <c r="J98" t="s">
        <v>13</v>
      </c>
      <c r="K98" t="s">
        <v>14</v>
      </c>
      <c r="L98" t="s">
        <v>26</v>
      </c>
      <c r="M98" t="s">
        <v>8</v>
      </c>
    </row>
    <row r="99" spans="1:13" x14ac:dyDescent="0.25">
      <c r="A99" t="s">
        <v>112</v>
      </c>
      <c r="B99" s="2">
        <v>45728</v>
      </c>
      <c r="C99" t="s">
        <v>1</v>
      </c>
      <c r="D99" t="s">
        <v>23</v>
      </c>
      <c r="E99" t="s">
        <v>47</v>
      </c>
      <c r="F99" t="s">
        <v>48</v>
      </c>
      <c r="G99">
        <v>15</v>
      </c>
      <c r="H99">
        <v>5</v>
      </c>
      <c r="I99">
        <v>75</v>
      </c>
      <c r="J99" t="s">
        <v>79</v>
      </c>
      <c r="K99" t="s">
        <v>25</v>
      </c>
      <c r="L99" t="s">
        <v>26</v>
      </c>
      <c r="M99" t="s">
        <v>15</v>
      </c>
    </row>
    <row r="100" spans="1:13" x14ac:dyDescent="0.25">
      <c r="A100" t="s">
        <v>224</v>
      </c>
      <c r="B100" s="2">
        <v>45728</v>
      </c>
      <c r="C100" t="s">
        <v>1</v>
      </c>
      <c r="D100" t="s">
        <v>23</v>
      </c>
      <c r="E100" t="s">
        <v>47</v>
      </c>
      <c r="F100" t="s">
        <v>48</v>
      </c>
      <c r="G100">
        <v>15</v>
      </c>
      <c r="H100">
        <v>1</v>
      </c>
      <c r="I100">
        <v>15</v>
      </c>
      <c r="J100" t="s">
        <v>49</v>
      </c>
      <c r="K100" t="s">
        <v>42</v>
      </c>
      <c r="L100" t="s">
        <v>7</v>
      </c>
      <c r="M100" t="s">
        <v>8</v>
      </c>
    </row>
    <row r="101" spans="1:13" x14ac:dyDescent="0.25">
      <c r="A101" t="s">
        <v>249</v>
      </c>
      <c r="B101" s="2">
        <v>45728</v>
      </c>
      <c r="C101" t="s">
        <v>1</v>
      </c>
      <c r="D101" t="s">
        <v>23</v>
      </c>
      <c r="E101" t="s">
        <v>3</v>
      </c>
      <c r="F101" t="s">
        <v>4</v>
      </c>
      <c r="G101">
        <v>60</v>
      </c>
      <c r="H101">
        <v>2</v>
      </c>
      <c r="I101">
        <v>120</v>
      </c>
      <c r="J101" t="s">
        <v>52</v>
      </c>
      <c r="K101" t="s">
        <v>20</v>
      </c>
      <c r="L101" t="s">
        <v>56</v>
      </c>
      <c r="M101" t="s">
        <v>37</v>
      </c>
    </row>
    <row r="102" spans="1:13" x14ac:dyDescent="0.25">
      <c r="A102" t="s">
        <v>113</v>
      </c>
      <c r="B102" s="2">
        <v>45727</v>
      </c>
      <c r="C102" t="s">
        <v>1</v>
      </c>
      <c r="D102" t="s">
        <v>34</v>
      </c>
      <c r="E102" t="s">
        <v>63</v>
      </c>
      <c r="F102" t="s">
        <v>59</v>
      </c>
      <c r="G102">
        <v>1200</v>
      </c>
      <c r="H102">
        <v>1</v>
      </c>
      <c r="I102">
        <v>1200</v>
      </c>
      <c r="J102" t="s">
        <v>79</v>
      </c>
      <c r="K102" t="s">
        <v>6</v>
      </c>
      <c r="L102" t="s">
        <v>36</v>
      </c>
      <c r="M102" t="s">
        <v>8</v>
      </c>
    </row>
    <row r="103" spans="1:13" x14ac:dyDescent="0.25">
      <c r="A103" t="s">
        <v>277</v>
      </c>
      <c r="B103" s="2">
        <v>45727</v>
      </c>
      <c r="C103" t="s">
        <v>1</v>
      </c>
      <c r="D103" t="s">
        <v>34</v>
      </c>
      <c r="E103" t="s">
        <v>51</v>
      </c>
      <c r="F103" t="s">
        <v>32</v>
      </c>
      <c r="G103">
        <v>40</v>
      </c>
      <c r="H103">
        <v>1</v>
      </c>
      <c r="I103">
        <v>40</v>
      </c>
      <c r="J103" t="s">
        <v>41</v>
      </c>
      <c r="K103" t="s">
        <v>6</v>
      </c>
      <c r="L103" t="s">
        <v>56</v>
      </c>
      <c r="M103" t="s">
        <v>8</v>
      </c>
    </row>
    <row r="104" spans="1:13" x14ac:dyDescent="0.25">
      <c r="A104" t="s">
        <v>27</v>
      </c>
      <c r="B104" s="2">
        <v>45726</v>
      </c>
      <c r="C104" t="s">
        <v>1</v>
      </c>
      <c r="D104" t="s">
        <v>28</v>
      </c>
      <c r="E104" t="s">
        <v>29</v>
      </c>
      <c r="F104" t="s">
        <v>12</v>
      </c>
      <c r="G104">
        <v>150</v>
      </c>
      <c r="H104">
        <v>3</v>
      </c>
      <c r="I104">
        <v>450</v>
      </c>
      <c r="J104" t="s">
        <v>5</v>
      </c>
      <c r="K104" t="s">
        <v>6</v>
      </c>
      <c r="L104" t="s">
        <v>7</v>
      </c>
      <c r="M104" t="s">
        <v>15</v>
      </c>
    </row>
    <row r="105" spans="1:13" x14ac:dyDescent="0.25">
      <c r="A105" t="s">
        <v>84</v>
      </c>
      <c r="B105" s="2">
        <v>45726</v>
      </c>
      <c r="C105" t="s">
        <v>1</v>
      </c>
      <c r="D105" t="s">
        <v>28</v>
      </c>
      <c r="E105" t="s">
        <v>40</v>
      </c>
      <c r="F105" t="s">
        <v>12</v>
      </c>
      <c r="G105">
        <v>500</v>
      </c>
      <c r="H105">
        <v>4</v>
      </c>
      <c r="I105">
        <v>2000</v>
      </c>
      <c r="J105" t="s">
        <v>52</v>
      </c>
      <c r="K105" t="s">
        <v>61</v>
      </c>
      <c r="L105" t="s">
        <v>36</v>
      </c>
      <c r="M105" t="s">
        <v>15</v>
      </c>
    </row>
    <row r="106" spans="1:13" x14ac:dyDescent="0.25">
      <c r="A106" t="s">
        <v>122</v>
      </c>
      <c r="B106" s="2">
        <v>45726</v>
      </c>
      <c r="C106" t="s">
        <v>1</v>
      </c>
      <c r="D106" t="s">
        <v>28</v>
      </c>
      <c r="E106" t="s">
        <v>47</v>
      </c>
      <c r="F106" t="s">
        <v>48</v>
      </c>
      <c r="G106">
        <v>15</v>
      </c>
      <c r="H106">
        <v>1</v>
      </c>
      <c r="I106">
        <v>15</v>
      </c>
      <c r="J106" t="s">
        <v>13</v>
      </c>
      <c r="K106" t="s">
        <v>44</v>
      </c>
      <c r="L106" t="s">
        <v>26</v>
      </c>
      <c r="M106" t="s">
        <v>37</v>
      </c>
    </row>
    <row r="107" spans="1:13" x14ac:dyDescent="0.25">
      <c r="A107" t="s">
        <v>247</v>
      </c>
      <c r="B107" s="2">
        <v>45726</v>
      </c>
      <c r="C107" t="s">
        <v>1</v>
      </c>
      <c r="D107" t="s">
        <v>28</v>
      </c>
      <c r="E107" t="s">
        <v>40</v>
      </c>
      <c r="F107" t="s">
        <v>12</v>
      </c>
      <c r="G107">
        <v>500</v>
      </c>
      <c r="H107">
        <v>3</v>
      </c>
      <c r="I107">
        <v>1500</v>
      </c>
      <c r="J107" t="s">
        <v>24</v>
      </c>
      <c r="K107" t="s">
        <v>20</v>
      </c>
      <c r="L107" t="s">
        <v>56</v>
      </c>
      <c r="M107" t="s">
        <v>8</v>
      </c>
    </row>
    <row r="108" spans="1:13" x14ac:dyDescent="0.25">
      <c r="A108" t="s">
        <v>131</v>
      </c>
      <c r="B108" s="2">
        <v>45725</v>
      </c>
      <c r="C108" t="s">
        <v>1</v>
      </c>
      <c r="D108" t="s">
        <v>39</v>
      </c>
      <c r="E108" t="s">
        <v>3</v>
      </c>
      <c r="F108" t="s">
        <v>4</v>
      </c>
      <c r="G108">
        <v>60</v>
      </c>
      <c r="H108">
        <v>2</v>
      </c>
      <c r="I108">
        <v>120</v>
      </c>
      <c r="J108" t="s">
        <v>13</v>
      </c>
      <c r="K108" t="s">
        <v>20</v>
      </c>
      <c r="L108" t="s">
        <v>56</v>
      </c>
      <c r="M108" t="s">
        <v>8</v>
      </c>
    </row>
    <row r="109" spans="1:13" x14ac:dyDescent="0.25">
      <c r="A109" t="s">
        <v>264</v>
      </c>
      <c r="B109" s="2">
        <v>45725</v>
      </c>
      <c r="C109" t="s">
        <v>1</v>
      </c>
      <c r="D109" t="s">
        <v>39</v>
      </c>
      <c r="E109" t="s">
        <v>31</v>
      </c>
      <c r="F109" t="s">
        <v>32</v>
      </c>
      <c r="G109">
        <v>20</v>
      </c>
      <c r="H109">
        <v>4</v>
      </c>
      <c r="I109">
        <v>80</v>
      </c>
      <c r="J109" t="s">
        <v>5</v>
      </c>
      <c r="K109" t="s">
        <v>35</v>
      </c>
      <c r="L109" t="s">
        <v>7</v>
      </c>
      <c r="M109" t="s">
        <v>37</v>
      </c>
    </row>
    <row r="110" spans="1:13" x14ac:dyDescent="0.25">
      <c r="A110" t="s">
        <v>43</v>
      </c>
      <c r="B110" s="2">
        <v>45724</v>
      </c>
      <c r="C110" t="s">
        <v>1</v>
      </c>
      <c r="D110" t="s">
        <v>18</v>
      </c>
      <c r="E110" t="s">
        <v>31</v>
      </c>
      <c r="F110" t="s">
        <v>32</v>
      </c>
      <c r="G110">
        <v>20</v>
      </c>
      <c r="H110">
        <v>3</v>
      </c>
      <c r="I110">
        <v>60</v>
      </c>
      <c r="J110" t="s">
        <v>41</v>
      </c>
      <c r="K110" t="s">
        <v>44</v>
      </c>
      <c r="L110" t="s">
        <v>36</v>
      </c>
      <c r="M110" t="s">
        <v>37</v>
      </c>
    </row>
    <row r="111" spans="1:13" x14ac:dyDescent="0.25">
      <c r="A111" t="s">
        <v>197</v>
      </c>
      <c r="B111" s="2">
        <v>45724</v>
      </c>
      <c r="C111" t="s">
        <v>1</v>
      </c>
      <c r="D111" t="s">
        <v>18</v>
      </c>
      <c r="E111" t="s">
        <v>29</v>
      </c>
      <c r="F111" t="s">
        <v>12</v>
      </c>
      <c r="G111">
        <v>150</v>
      </c>
      <c r="H111">
        <v>2</v>
      </c>
      <c r="I111">
        <v>300</v>
      </c>
      <c r="J111" t="s">
        <v>52</v>
      </c>
      <c r="K111" t="s">
        <v>61</v>
      </c>
      <c r="L111" t="s">
        <v>7</v>
      </c>
      <c r="M111" t="s">
        <v>8</v>
      </c>
    </row>
    <row r="112" spans="1:13" x14ac:dyDescent="0.25">
      <c r="A112" t="s">
        <v>256</v>
      </c>
      <c r="B112" s="2">
        <v>45724</v>
      </c>
      <c r="C112" t="s">
        <v>1</v>
      </c>
      <c r="D112" t="s">
        <v>18</v>
      </c>
      <c r="E112" t="s">
        <v>3</v>
      </c>
      <c r="F112" t="s">
        <v>4</v>
      </c>
      <c r="G112">
        <v>60</v>
      </c>
      <c r="H112">
        <v>5</v>
      </c>
      <c r="I112">
        <v>300</v>
      </c>
      <c r="J112" t="s">
        <v>79</v>
      </c>
      <c r="K112" t="s">
        <v>42</v>
      </c>
      <c r="L112" t="s">
        <v>56</v>
      </c>
      <c r="M112" t="s">
        <v>15</v>
      </c>
    </row>
    <row r="113" spans="1:13" x14ac:dyDescent="0.25">
      <c r="A113" t="s">
        <v>286</v>
      </c>
      <c r="B113" s="2">
        <v>45724</v>
      </c>
      <c r="C113" t="s">
        <v>1</v>
      </c>
      <c r="D113" t="s">
        <v>18</v>
      </c>
      <c r="E113" t="s">
        <v>47</v>
      </c>
      <c r="F113" t="s">
        <v>48</v>
      </c>
      <c r="G113">
        <v>15</v>
      </c>
      <c r="H113">
        <v>1</v>
      </c>
      <c r="I113">
        <v>15</v>
      </c>
      <c r="J113" t="s">
        <v>79</v>
      </c>
      <c r="K113" t="s">
        <v>42</v>
      </c>
      <c r="L113" t="s">
        <v>21</v>
      </c>
      <c r="M113" t="s">
        <v>8</v>
      </c>
    </row>
    <row r="114" spans="1:13" x14ac:dyDescent="0.25">
      <c r="A114" t="s">
        <v>294</v>
      </c>
      <c r="B114" s="2">
        <v>45724</v>
      </c>
      <c r="C114" t="s">
        <v>1</v>
      </c>
      <c r="D114" t="s">
        <v>18</v>
      </c>
      <c r="E114" t="s">
        <v>40</v>
      </c>
      <c r="F114" t="s">
        <v>12</v>
      </c>
      <c r="G114">
        <v>500</v>
      </c>
      <c r="H114">
        <v>4</v>
      </c>
      <c r="I114">
        <v>2000</v>
      </c>
      <c r="J114" t="s">
        <v>71</v>
      </c>
      <c r="K114" t="s">
        <v>44</v>
      </c>
      <c r="L114" t="s">
        <v>56</v>
      </c>
      <c r="M114" t="s">
        <v>15</v>
      </c>
    </row>
    <row r="115" spans="1:13" x14ac:dyDescent="0.25">
      <c r="A115" t="s">
        <v>301</v>
      </c>
      <c r="B115" s="2">
        <v>45724</v>
      </c>
      <c r="C115" t="s">
        <v>1</v>
      </c>
      <c r="D115" t="s">
        <v>18</v>
      </c>
      <c r="E115" t="s">
        <v>29</v>
      </c>
      <c r="F115" t="s">
        <v>12</v>
      </c>
      <c r="G115">
        <v>150</v>
      </c>
      <c r="H115">
        <v>3</v>
      </c>
      <c r="I115">
        <v>450</v>
      </c>
      <c r="J115" t="s">
        <v>13</v>
      </c>
      <c r="K115" t="s">
        <v>6</v>
      </c>
      <c r="L115" t="s">
        <v>7</v>
      </c>
      <c r="M115" t="s">
        <v>8</v>
      </c>
    </row>
    <row r="116" spans="1:13" x14ac:dyDescent="0.25">
      <c r="A116" t="s">
        <v>69</v>
      </c>
      <c r="B116" s="2">
        <v>45723</v>
      </c>
      <c r="C116" t="s">
        <v>1</v>
      </c>
      <c r="D116" t="s">
        <v>2</v>
      </c>
      <c r="E116" t="s">
        <v>11</v>
      </c>
      <c r="F116" t="s">
        <v>12</v>
      </c>
      <c r="G116">
        <v>100</v>
      </c>
      <c r="H116">
        <v>4</v>
      </c>
      <c r="I116">
        <v>400</v>
      </c>
      <c r="J116" t="s">
        <v>24</v>
      </c>
      <c r="K116" t="s">
        <v>61</v>
      </c>
      <c r="L116" t="s">
        <v>7</v>
      </c>
      <c r="M116" t="s">
        <v>15</v>
      </c>
    </row>
    <row r="117" spans="1:13" x14ac:dyDescent="0.25">
      <c r="A117" t="s">
        <v>72</v>
      </c>
      <c r="B117" s="2">
        <v>45723</v>
      </c>
      <c r="C117" t="s">
        <v>1</v>
      </c>
      <c r="D117" t="s">
        <v>2</v>
      </c>
      <c r="E117" t="s">
        <v>63</v>
      </c>
      <c r="F117" t="s">
        <v>59</v>
      </c>
      <c r="G117">
        <v>1200</v>
      </c>
      <c r="H117">
        <v>4</v>
      </c>
      <c r="I117">
        <v>4800</v>
      </c>
      <c r="J117" t="s">
        <v>24</v>
      </c>
      <c r="K117" t="s">
        <v>35</v>
      </c>
      <c r="L117" t="s">
        <v>26</v>
      </c>
      <c r="M117" t="s">
        <v>15</v>
      </c>
    </row>
    <row r="118" spans="1:13" x14ac:dyDescent="0.25">
      <c r="A118" t="s">
        <v>124</v>
      </c>
      <c r="B118" s="2">
        <v>45723</v>
      </c>
      <c r="C118" t="s">
        <v>1</v>
      </c>
      <c r="D118" t="s">
        <v>2</v>
      </c>
      <c r="E118" t="s">
        <v>54</v>
      </c>
      <c r="F118" t="s">
        <v>12</v>
      </c>
      <c r="G118">
        <v>800</v>
      </c>
      <c r="H118">
        <v>3</v>
      </c>
      <c r="I118">
        <v>2400</v>
      </c>
      <c r="J118" t="s">
        <v>55</v>
      </c>
      <c r="K118" t="s">
        <v>35</v>
      </c>
      <c r="L118" t="s">
        <v>26</v>
      </c>
      <c r="M118" t="s">
        <v>15</v>
      </c>
    </row>
    <row r="119" spans="1:13" x14ac:dyDescent="0.25">
      <c r="A119" t="s">
        <v>184</v>
      </c>
      <c r="B119" s="2">
        <v>45723</v>
      </c>
      <c r="C119" t="s">
        <v>1</v>
      </c>
      <c r="D119" t="s">
        <v>2</v>
      </c>
      <c r="E119" t="s">
        <v>40</v>
      </c>
      <c r="F119" t="s">
        <v>12</v>
      </c>
      <c r="G119">
        <v>500</v>
      </c>
      <c r="H119">
        <v>2</v>
      </c>
      <c r="I119">
        <v>1000</v>
      </c>
      <c r="J119" t="s">
        <v>24</v>
      </c>
      <c r="K119" t="s">
        <v>80</v>
      </c>
      <c r="L119" t="s">
        <v>7</v>
      </c>
      <c r="M119" t="s">
        <v>15</v>
      </c>
    </row>
    <row r="120" spans="1:13" x14ac:dyDescent="0.25">
      <c r="A120" t="s">
        <v>267</v>
      </c>
      <c r="B120" s="2">
        <v>45723</v>
      </c>
      <c r="C120" t="s">
        <v>1</v>
      </c>
      <c r="D120" t="s">
        <v>2</v>
      </c>
      <c r="E120" t="s">
        <v>3</v>
      </c>
      <c r="F120" t="s">
        <v>4</v>
      </c>
      <c r="G120">
        <v>60</v>
      </c>
      <c r="H120">
        <v>1</v>
      </c>
      <c r="I120">
        <v>60</v>
      </c>
      <c r="J120" t="s">
        <v>5</v>
      </c>
      <c r="K120" t="s">
        <v>35</v>
      </c>
      <c r="L120" t="s">
        <v>36</v>
      </c>
      <c r="M120" t="s">
        <v>37</v>
      </c>
    </row>
    <row r="121" spans="1:13" x14ac:dyDescent="0.25">
      <c r="A121" t="s">
        <v>98</v>
      </c>
      <c r="B121" s="2">
        <v>45722</v>
      </c>
      <c r="C121" t="s">
        <v>1</v>
      </c>
      <c r="D121" t="s">
        <v>10</v>
      </c>
      <c r="E121" t="s">
        <v>3</v>
      </c>
      <c r="F121" t="s">
        <v>4</v>
      </c>
      <c r="G121">
        <v>60</v>
      </c>
      <c r="H121">
        <v>2</v>
      </c>
      <c r="I121">
        <v>120</v>
      </c>
      <c r="J121" t="s">
        <v>49</v>
      </c>
      <c r="K121" t="s">
        <v>35</v>
      </c>
      <c r="L121" t="s">
        <v>7</v>
      </c>
      <c r="M121" t="s">
        <v>8</v>
      </c>
    </row>
    <row r="122" spans="1:13" x14ac:dyDescent="0.25">
      <c r="A122" t="s">
        <v>145</v>
      </c>
      <c r="B122" s="2">
        <v>45722</v>
      </c>
      <c r="C122" t="s">
        <v>1</v>
      </c>
      <c r="D122" t="s">
        <v>10</v>
      </c>
      <c r="E122" t="s">
        <v>63</v>
      </c>
      <c r="F122" t="s">
        <v>59</v>
      </c>
      <c r="G122">
        <v>1200</v>
      </c>
      <c r="H122">
        <v>5</v>
      </c>
      <c r="I122">
        <v>6000</v>
      </c>
      <c r="J122" t="s">
        <v>49</v>
      </c>
      <c r="K122" t="s">
        <v>20</v>
      </c>
      <c r="L122" t="s">
        <v>36</v>
      </c>
      <c r="M122" t="s">
        <v>8</v>
      </c>
    </row>
    <row r="123" spans="1:13" x14ac:dyDescent="0.25">
      <c r="A123" t="s">
        <v>164</v>
      </c>
      <c r="B123" s="2">
        <v>45722</v>
      </c>
      <c r="C123" t="s">
        <v>1</v>
      </c>
      <c r="D123" t="s">
        <v>10</v>
      </c>
      <c r="E123" t="s">
        <v>58</v>
      </c>
      <c r="F123" t="s">
        <v>59</v>
      </c>
      <c r="G123">
        <v>600</v>
      </c>
      <c r="H123">
        <v>2</v>
      </c>
      <c r="I123">
        <v>1200</v>
      </c>
      <c r="J123" t="s">
        <v>49</v>
      </c>
      <c r="K123" t="s">
        <v>25</v>
      </c>
      <c r="L123" t="s">
        <v>56</v>
      </c>
      <c r="M123" t="s">
        <v>8</v>
      </c>
    </row>
    <row r="124" spans="1:13" x14ac:dyDescent="0.25">
      <c r="A124" t="s">
        <v>221</v>
      </c>
      <c r="B124" s="2">
        <v>45722</v>
      </c>
      <c r="C124" t="s">
        <v>1</v>
      </c>
      <c r="D124" t="s">
        <v>10</v>
      </c>
      <c r="E124" t="s">
        <v>63</v>
      </c>
      <c r="F124" t="s">
        <v>59</v>
      </c>
      <c r="G124">
        <v>1200</v>
      </c>
      <c r="H124">
        <v>2</v>
      </c>
      <c r="I124">
        <v>2400</v>
      </c>
      <c r="J124" t="s">
        <v>19</v>
      </c>
      <c r="K124" t="s">
        <v>20</v>
      </c>
      <c r="L124" t="s">
        <v>36</v>
      </c>
      <c r="M124" t="s">
        <v>37</v>
      </c>
    </row>
    <row r="125" spans="1:13" x14ac:dyDescent="0.25">
      <c r="A125" t="s">
        <v>278</v>
      </c>
      <c r="B125" s="2">
        <v>45721</v>
      </c>
      <c r="C125" t="s">
        <v>1</v>
      </c>
      <c r="D125" t="s">
        <v>23</v>
      </c>
      <c r="E125" t="s">
        <v>3</v>
      </c>
      <c r="F125" t="s">
        <v>4</v>
      </c>
      <c r="G125">
        <v>60</v>
      </c>
      <c r="H125">
        <v>4</v>
      </c>
      <c r="I125">
        <v>240</v>
      </c>
      <c r="J125" t="s">
        <v>71</v>
      </c>
      <c r="K125" t="s">
        <v>80</v>
      </c>
      <c r="L125" t="s">
        <v>21</v>
      </c>
      <c r="M125" t="s">
        <v>37</v>
      </c>
    </row>
    <row r="126" spans="1:13" x14ac:dyDescent="0.25">
      <c r="A126" t="s">
        <v>288</v>
      </c>
      <c r="B126" s="2">
        <v>45721</v>
      </c>
      <c r="C126" t="s">
        <v>1</v>
      </c>
      <c r="D126" t="s">
        <v>23</v>
      </c>
      <c r="E126" t="s">
        <v>40</v>
      </c>
      <c r="F126" t="s">
        <v>12</v>
      </c>
      <c r="G126">
        <v>500</v>
      </c>
      <c r="H126">
        <v>5</v>
      </c>
      <c r="I126">
        <v>2500</v>
      </c>
      <c r="J126" t="s">
        <v>19</v>
      </c>
      <c r="K126" t="s">
        <v>44</v>
      </c>
      <c r="L126" t="s">
        <v>36</v>
      </c>
      <c r="M126" t="s">
        <v>37</v>
      </c>
    </row>
    <row r="127" spans="1:13" x14ac:dyDescent="0.25">
      <c r="A127" t="s">
        <v>295</v>
      </c>
      <c r="B127" s="2">
        <v>45721</v>
      </c>
      <c r="C127" t="s">
        <v>1</v>
      </c>
      <c r="D127" t="s">
        <v>23</v>
      </c>
      <c r="E127" t="s">
        <v>3</v>
      </c>
      <c r="F127" t="s">
        <v>4</v>
      </c>
      <c r="G127">
        <v>60</v>
      </c>
      <c r="H127">
        <v>2</v>
      </c>
      <c r="I127">
        <v>120</v>
      </c>
      <c r="J127" t="s">
        <v>71</v>
      </c>
      <c r="K127" t="s">
        <v>35</v>
      </c>
      <c r="L127" t="s">
        <v>21</v>
      </c>
      <c r="M127" t="s">
        <v>37</v>
      </c>
    </row>
    <row r="128" spans="1:13" x14ac:dyDescent="0.25">
      <c r="A128" t="s">
        <v>300</v>
      </c>
      <c r="B128" s="2">
        <v>45721</v>
      </c>
      <c r="C128" t="s">
        <v>1</v>
      </c>
      <c r="D128" t="s">
        <v>23</v>
      </c>
      <c r="E128" t="s">
        <v>31</v>
      </c>
      <c r="F128" t="s">
        <v>32</v>
      </c>
      <c r="G128">
        <v>20</v>
      </c>
      <c r="H128">
        <v>2</v>
      </c>
      <c r="I128">
        <v>40</v>
      </c>
      <c r="J128" t="s">
        <v>71</v>
      </c>
      <c r="K128" t="s">
        <v>20</v>
      </c>
      <c r="L128" t="s">
        <v>7</v>
      </c>
      <c r="M128" t="s">
        <v>8</v>
      </c>
    </row>
    <row r="129" spans="1:13" x14ac:dyDescent="0.25">
      <c r="A129" t="s">
        <v>57</v>
      </c>
      <c r="B129" s="2">
        <v>45720</v>
      </c>
      <c r="C129" t="s">
        <v>1</v>
      </c>
      <c r="D129" t="s">
        <v>34</v>
      </c>
      <c r="E129" t="s">
        <v>58</v>
      </c>
      <c r="F129" t="s">
        <v>59</v>
      </c>
      <c r="G129">
        <v>600</v>
      </c>
      <c r="H129">
        <v>3</v>
      </c>
      <c r="I129">
        <v>1800</v>
      </c>
      <c r="J129" t="s">
        <v>52</v>
      </c>
      <c r="K129" t="s">
        <v>42</v>
      </c>
      <c r="L129" t="s">
        <v>26</v>
      </c>
      <c r="M129" t="s">
        <v>8</v>
      </c>
    </row>
    <row r="130" spans="1:13" x14ac:dyDescent="0.25">
      <c r="A130" t="s">
        <v>232</v>
      </c>
      <c r="B130" s="2">
        <v>45720</v>
      </c>
      <c r="C130" t="s">
        <v>1</v>
      </c>
      <c r="D130" t="s">
        <v>34</v>
      </c>
      <c r="E130" t="s">
        <v>63</v>
      </c>
      <c r="F130" t="s">
        <v>59</v>
      </c>
      <c r="G130">
        <v>1200</v>
      </c>
      <c r="H130">
        <v>3</v>
      </c>
      <c r="I130">
        <v>3600</v>
      </c>
      <c r="J130" t="s">
        <v>49</v>
      </c>
      <c r="K130" t="s">
        <v>44</v>
      </c>
      <c r="L130" t="s">
        <v>56</v>
      </c>
      <c r="M130" t="s">
        <v>37</v>
      </c>
    </row>
    <row r="131" spans="1:13" x14ac:dyDescent="0.25">
      <c r="A131" t="s">
        <v>248</v>
      </c>
      <c r="B131" s="2">
        <v>45720</v>
      </c>
      <c r="C131" t="s">
        <v>1</v>
      </c>
      <c r="D131" t="s">
        <v>34</v>
      </c>
      <c r="E131" t="s">
        <v>11</v>
      </c>
      <c r="F131" t="s">
        <v>12</v>
      </c>
      <c r="G131">
        <v>100</v>
      </c>
      <c r="H131">
        <v>5</v>
      </c>
      <c r="I131">
        <v>500</v>
      </c>
      <c r="J131" t="s">
        <v>55</v>
      </c>
      <c r="K131" t="s">
        <v>61</v>
      </c>
      <c r="L131" t="s">
        <v>7</v>
      </c>
      <c r="M131" t="s">
        <v>15</v>
      </c>
    </row>
    <row r="132" spans="1:13" x14ac:dyDescent="0.25">
      <c r="A132" t="s">
        <v>233</v>
      </c>
      <c r="B132" s="2">
        <v>45719</v>
      </c>
      <c r="C132" t="s">
        <v>1</v>
      </c>
      <c r="D132" t="s">
        <v>28</v>
      </c>
      <c r="E132" t="s">
        <v>3</v>
      </c>
      <c r="F132" t="s">
        <v>4</v>
      </c>
      <c r="G132">
        <v>60</v>
      </c>
      <c r="H132">
        <v>2</v>
      </c>
      <c r="I132">
        <v>120</v>
      </c>
      <c r="J132" t="s">
        <v>49</v>
      </c>
      <c r="K132" t="s">
        <v>67</v>
      </c>
      <c r="L132" t="s">
        <v>7</v>
      </c>
      <c r="M132" t="s">
        <v>8</v>
      </c>
    </row>
    <row r="133" spans="1:13" x14ac:dyDescent="0.25">
      <c r="A133" t="s">
        <v>38</v>
      </c>
      <c r="B133" s="2">
        <v>45718</v>
      </c>
      <c r="C133" t="s">
        <v>1</v>
      </c>
      <c r="D133" t="s">
        <v>39</v>
      </c>
      <c r="E133" t="s">
        <v>40</v>
      </c>
      <c r="F133" t="s">
        <v>12</v>
      </c>
      <c r="G133">
        <v>500</v>
      </c>
      <c r="H133">
        <v>1</v>
      </c>
      <c r="I133">
        <v>500</v>
      </c>
      <c r="J133" t="s">
        <v>41</v>
      </c>
      <c r="K133" t="s">
        <v>42</v>
      </c>
      <c r="L133" t="s">
        <v>36</v>
      </c>
      <c r="M133" t="s">
        <v>37</v>
      </c>
    </row>
    <row r="134" spans="1:13" x14ac:dyDescent="0.25">
      <c r="A134" t="s">
        <v>75</v>
      </c>
      <c r="B134" s="2">
        <v>45718</v>
      </c>
      <c r="C134" t="s">
        <v>1</v>
      </c>
      <c r="D134" t="s">
        <v>39</v>
      </c>
      <c r="E134" t="s">
        <v>47</v>
      </c>
      <c r="F134" t="s">
        <v>48</v>
      </c>
      <c r="G134">
        <v>15</v>
      </c>
      <c r="H134">
        <v>5</v>
      </c>
      <c r="I134">
        <v>75</v>
      </c>
      <c r="J134" t="s">
        <v>41</v>
      </c>
      <c r="K134" t="s">
        <v>61</v>
      </c>
      <c r="L134" t="s">
        <v>21</v>
      </c>
      <c r="M134" t="s">
        <v>37</v>
      </c>
    </row>
    <row r="135" spans="1:13" x14ac:dyDescent="0.25">
      <c r="A135" t="s">
        <v>91</v>
      </c>
      <c r="B135" s="2">
        <v>45718</v>
      </c>
      <c r="C135" t="s">
        <v>1</v>
      </c>
      <c r="D135" t="s">
        <v>39</v>
      </c>
      <c r="E135" t="s">
        <v>54</v>
      </c>
      <c r="F135" t="s">
        <v>12</v>
      </c>
      <c r="G135">
        <v>800</v>
      </c>
      <c r="H135">
        <v>2</v>
      </c>
      <c r="I135">
        <v>1600</v>
      </c>
      <c r="J135" t="s">
        <v>24</v>
      </c>
      <c r="K135" t="s">
        <v>14</v>
      </c>
      <c r="L135" t="s">
        <v>36</v>
      </c>
      <c r="M135" t="s">
        <v>37</v>
      </c>
    </row>
    <row r="136" spans="1:13" x14ac:dyDescent="0.25">
      <c r="A136" t="s">
        <v>238</v>
      </c>
      <c r="B136" s="2">
        <v>45718</v>
      </c>
      <c r="C136" t="s">
        <v>1</v>
      </c>
      <c r="D136" t="s">
        <v>39</v>
      </c>
      <c r="E136" t="s">
        <v>58</v>
      </c>
      <c r="F136" t="s">
        <v>59</v>
      </c>
      <c r="G136">
        <v>600</v>
      </c>
      <c r="H136">
        <v>4</v>
      </c>
      <c r="I136">
        <v>2400</v>
      </c>
      <c r="J136" t="s">
        <v>52</v>
      </c>
      <c r="K136" t="s">
        <v>6</v>
      </c>
      <c r="L136" t="s">
        <v>36</v>
      </c>
      <c r="M136" t="s">
        <v>37</v>
      </c>
    </row>
    <row r="137" spans="1:13" x14ac:dyDescent="0.25">
      <c r="A137" t="s">
        <v>53</v>
      </c>
      <c r="B137" s="2">
        <v>45717</v>
      </c>
      <c r="C137" t="s">
        <v>1</v>
      </c>
      <c r="D137" t="s">
        <v>18</v>
      </c>
      <c r="E137" t="s">
        <v>54</v>
      </c>
      <c r="F137" t="s">
        <v>12</v>
      </c>
      <c r="G137">
        <v>800</v>
      </c>
      <c r="H137">
        <v>2</v>
      </c>
      <c r="I137">
        <v>1600</v>
      </c>
      <c r="J137" t="s">
        <v>55</v>
      </c>
      <c r="K137" t="s">
        <v>14</v>
      </c>
      <c r="L137" t="s">
        <v>56</v>
      </c>
      <c r="M137" t="s">
        <v>15</v>
      </c>
    </row>
    <row r="138" spans="1:13" x14ac:dyDescent="0.25">
      <c r="A138" t="s">
        <v>206</v>
      </c>
      <c r="B138" s="2">
        <v>45717</v>
      </c>
      <c r="C138" t="s">
        <v>1</v>
      </c>
      <c r="D138" t="s">
        <v>18</v>
      </c>
      <c r="E138" t="s">
        <v>11</v>
      </c>
      <c r="F138" t="s">
        <v>12</v>
      </c>
      <c r="G138">
        <v>100</v>
      </c>
      <c r="H138">
        <v>2</v>
      </c>
      <c r="I138">
        <v>200</v>
      </c>
      <c r="J138" t="s">
        <v>19</v>
      </c>
      <c r="K138" t="s">
        <v>20</v>
      </c>
      <c r="L138" t="s">
        <v>7</v>
      </c>
      <c r="M138" t="s">
        <v>37</v>
      </c>
    </row>
    <row r="139" spans="1:13" x14ac:dyDescent="0.25">
      <c r="A139" t="s">
        <v>135</v>
      </c>
      <c r="B139" s="2">
        <v>45716</v>
      </c>
      <c r="C139" t="s">
        <v>17</v>
      </c>
      <c r="D139" t="s">
        <v>2</v>
      </c>
      <c r="E139" t="s">
        <v>58</v>
      </c>
      <c r="F139" t="s">
        <v>59</v>
      </c>
      <c r="G139">
        <v>600</v>
      </c>
      <c r="H139">
        <v>4</v>
      </c>
      <c r="I139">
        <v>2400</v>
      </c>
      <c r="J139" t="s">
        <v>5</v>
      </c>
      <c r="K139" t="s">
        <v>35</v>
      </c>
      <c r="L139" t="s">
        <v>56</v>
      </c>
      <c r="M139" t="s">
        <v>8</v>
      </c>
    </row>
    <row r="140" spans="1:13" x14ac:dyDescent="0.25">
      <c r="A140" t="s">
        <v>154</v>
      </c>
      <c r="B140" s="2">
        <v>45716</v>
      </c>
      <c r="C140" t="s">
        <v>17</v>
      </c>
      <c r="D140" t="s">
        <v>2</v>
      </c>
      <c r="E140" t="s">
        <v>40</v>
      </c>
      <c r="F140" t="s">
        <v>12</v>
      </c>
      <c r="G140">
        <v>500</v>
      </c>
      <c r="H140">
        <v>2</v>
      </c>
      <c r="I140">
        <v>1000</v>
      </c>
      <c r="J140" t="s">
        <v>49</v>
      </c>
      <c r="K140" t="s">
        <v>44</v>
      </c>
      <c r="L140" t="s">
        <v>36</v>
      </c>
      <c r="M140" t="s">
        <v>15</v>
      </c>
    </row>
    <row r="141" spans="1:13" x14ac:dyDescent="0.25">
      <c r="A141" t="s">
        <v>204</v>
      </c>
      <c r="B141" s="2">
        <v>45716</v>
      </c>
      <c r="C141" t="s">
        <v>17</v>
      </c>
      <c r="D141" t="s">
        <v>2</v>
      </c>
      <c r="E141" t="s">
        <v>29</v>
      </c>
      <c r="F141" t="s">
        <v>12</v>
      </c>
      <c r="G141">
        <v>150</v>
      </c>
      <c r="H141">
        <v>1</v>
      </c>
      <c r="I141">
        <v>150</v>
      </c>
      <c r="J141" t="s">
        <v>19</v>
      </c>
      <c r="K141" t="s">
        <v>61</v>
      </c>
      <c r="L141" t="s">
        <v>56</v>
      </c>
      <c r="M141" t="s">
        <v>37</v>
      </c>
    </row>
    <row r="142" spans="1:13" x14ac:dyDescent="0.25">
      <c r="A142" t="s">
        <v>222</v>
      </c>
      <c r="B142" s="2">
        <v>45716</v>
      </c>
      <c r="C142" t="s">
        <v>17</v>
      </c>
      <c r="D142" t="s">
        <v>2</v>
      </c>
      <c r="E142" t="s">
        <v>54</v>
      </c>
      <c r="F142" t="s">
        <v>12</v>
      </c>
      <c r="G142">
        <v>800</v>
      </c>
      <c r="H142">
        <v>1</v>
      </c>
      <c r="I142">
        <v>800</v>
      </c>
      <c r="J142" t="s">
        <v>5</v>
      </c>
      <c r="K142" t="s">
        <v>14</v>
      </c>
      <c r="L142" t="s">
        <v>56</v>
      </c>
      <c r="M142" t="s">
        <v>15</v>
      </c>
    </row>
    <row r="143" spans="1:13" x14ac:dyDescent="0.25">
      <c r="A143" t="s">
        <v>223</v>
      </c>
      <c r="B143" s="2">
        <v>45716</v>
      </c>
      <c r="C143" t="s">
        <v>17</v>
      </c>
      <c r="D143" t="s">
        <v>2</v>
      </c>
      <c r="E143" t="s">
        <v>29</v>
      </c>
      <c r="F143" t="s">
        <v>12</v>
      </c>
      <c r="G143">
        <v>150</v>
      </c>
      <c r="H143">
        <v>2</v>
      </c>
      <c r="I143">
        <v>300</v>
      </c>
      <c r="J143" t="s">
        <v>55</v>
      </c>
      <c r="K143" t="s">
        <v>35</v>
      </c>
      <c r="L143" t="s">
        <v>36</v>
      </c>
      <c r="M143" t="s">
        <v>37</v>
      </c>
    </row>
    <row r="144" spans="1:13" x14ac:dyDescent="0.25">
      <c r="A144" t="s">
        <v>225</v>
      </c>
      <c r="B144" s="2">
        <v>45716</v>
      </c>
      <c r="C144" t="s">
        <v>17</v>
      </c>
      <c r="D144" t="s">
        <v>2</v>
      </c>
      <c r="E144" t="s">
        <v>63</v>
      </c>
      <c r="F144" t="s">
        <v>59</v>
      </c>
      <c r="G144">
        <v>1200</v>
      </c>
      <c r="H144">
        <v>1</v>
      </c>
      <c r="I144">
        <v>1200</v>
      </c>
      <c r="J144" t="s">
        <v>24</v>
      </c>
      <c r="K144" t="s">
        <v>61</v>
      </c>
      <c r="L144" t="s">
        <v>36</v>
      </c>
      <c r="M144" t="s">
        <v>37</v>
      </c>
    </row>
    <row r="145" spans="1:13" x14ac:dyDescent="0.25">
      <c r="A145" t="s">
        <v>243</v>
      </c>
      <c r="B145" s="2">
        <v>45716</v>
      </c>
      <c r="C145" t="s">
        <v>17</v>
      </c>
      <c r="D145" t="s">
        <v>2</v>
      </c>
      <c r="E145" t="s">
        <v>51</v>
      </c>
      <c r="F145" t="s">
        <v>32</v>
      </c>
      <c r="G145">
        <v>40</v>
      </c>
      <c r="H145">
        <v>4</v>
      </c>
      <c r="I145">
        <v>160</v>
      </c>
      <c r="J145" t="s">
        <v>19</v>
      </c>
      <c r="K145" t="s">
        <v>61</v>
      </c>
      <c r="L145" t="s">
        <v>21</v>
      </c>
      <c r="M145" t="s">
        <v>15</v>
      </c>
    </row>
    <row r="146" spans="1:13" x14ac:dyDescent="0.25">
      <c r="A146" t="s">
        <v>273</v>
      </c>
      <c r="B146" s="2">
        <v>45716</v>
      </c>
      <c r="C146" t="s">
        <v>17</v>
      </c>
      <c r="D146" t="s">
        <v>2</v>
      </c>
      <c r="E146" t="s">
        <v>58</v>
      </c>
      <c r="F146" t="s">
        <v>59</v>
      </c>
      <c r="G146">
        <v>600</v>
      </c>
      <c r="H146">
        <v>2</v>
      </c>
      <c r="I146">
        <v>1200</v>
      </c>
      <c r="J146" t="s">
        <v>13</v>
      </c>
      <c r="K146" t="s">
        <v>80</v>
      </c>
      <c r="L146" t="s">
        <v>56</v>
      </c>
      <c r="M146" t="s">
        <v>8</v>
      </c>
    </row>
    <row r="147" spans="1:13" x14ac:dyDescent="0.25">
      <c r="A147" t="s">
        <v>169</v>
      </c>
      <c r="B147" s="2">
        <v>45715</v>
      </c>
      <c r="C147" t="s">
        <v>17</v>
      </c>
      <c r="D147" t="s">
        <v>10</v>
      </c>
      <c r="E147" t="s">
        <v>31</v>
      </c>
      <c r="F147" t="s">
        <v>32</v>
      </c>
      <c r="G147">
        <v>20</v>
      </c>
      <c r="H147">
        <v>1</v>
      </c>
      <c r="I147">
        <v>20</v>
      </c>
      <c r="J147" t="s">
        <v>55</v>
      </c>
      <c r="K147" t="s">
        <v>6</v>
      </c>
      <c r="L147" t="s">
        <v>26</v>
      </c>
      <c r="M147" t="s">
        <v>37</v>
      </c>
    </row>
    <row r="148" spans="1:13" x14ac:dyDescent="0.25">
      <c r="A148" t="s">
        <v>196</v>
      </c>
      <c r="B148" s="2">
        <v>45715</v>
      </c>
      <c r="C148" t="s">
        <v>17</v>
      </c>
      <c r="D148" t="s">
        <v>10</v>
      </c>
      <c r="E148" t="s">
        <v>51</v>
      </c>
      <c r="F148" t="s">
        <v>32</v>
      </c>
      <c r="G148">
        <v>40</v>
      </c>
      <c r="H148">
        <v>2</v>
      </c>
      <c r="I148">
        <v>80</v>
      </c>
      <c r="J148" t="s">
        <v>52</v>
      </c>
      <c r="K148" t="s">
        <v>67</v>
      </c>
      <c r="L148" t="s">
        <v>56</v>
      </c>
      <c r="M148" t="s">
        <v>8</v>
      </c>
    </row>
    <row r="149" spans="1:13" x14ac:dyDescent="0.25">
      <c r="A149" t="s">
        <v>257</v>
      </c>
      <c r="B149" s="2">
        <v>45715</v>
      </c>
      <c r="C149" t="s">
        <v>17</v>
      </c>
      <c r="D149" t="s">
        <v>10</v>
      </c>
      <c r="E149" t="s">
        <v>11</v>
      </c>
      <c r="F149" t="s">
        <v>12</v>
      </c>
      <c r="G149">
        <v>100</v>
      </c>
      <c r="H149">
        <v>2</v>
      </c>
      <c r="I149">
        <v>200</v>
      </c>
      <c r="J149" t="s">
        <v>49</v>
      </c>
      <c r="K149" t="s">
        <v>35</v>
      </c>
      <c r="L149" t="s">
        <v>36</v>
      </c>
      <c r="M149" t="s">
        <v>37</v>
      </c>
    </row>
    <row r="150" spans="1:13" x14ac:dyDescent="0.25">
      <c r="A150" t="s">
        <v>62</v>
      </c>
      <c r="B150" s="2">
        <v>45714</v>
      </c>
      <c r="C150" t="s">
        <v>17</v>
      </c>
      <c r="D150" t="s">
        <v>23</v>
      </c>
      <c r="E150" t="s">
        <v>63</v>
      </c>
      <c r="F150" t="s">
        <v>59</v>
      </c>
      <c r="G150">
        <v>1200</v>
      </c>
      <c r="H150">
        <v>1</v>
      </c>
      <c r="I150">
        <v>1200</v>
      </c>
      <c r="J150" t="s">
        <v>19</v>
      </c>
      <c r="K150" t="s">
        <v>44</v>
      </c>
      <c r="L150" t="s">
        <v>26</v>
      </c>
      <c r="M150" t="s">
        <v>8</v>
      </c>
    </row>
    <row r="151" spans="1:13" x14ac:dyDescent="0.25">
      <c r="A151" t="s">
        <v>127</v>
      </c>
      <c r="B151" s="2">
        <v>45714</v>
      </c>
      <c r="C151" t="s">
        <v>17</v>
      </c>
      <c r="D151" t="s">
        <v>23</v>
      </c>
      <c r="E151" t="s">
        <v>11</v>
      </c>
      <c r="F151" t="s">
        <v>12</v>
      </c>
      <c r="G151">
        <v>100</v>
      </c>
      <c r="H151">
        <v>2</v>
      </c>
      <c r="I151">
        <v>200</v>
      </c>
      <c r="J151" t="s">
        <v>55</v>
      </c>
      <c r="K151" t="s">
        <v>44</v>
      </c>
      <c r="L151" t="s">
        <v>36</v>
      </c>
      <c r="M151" t="s">
        <v>15</v>
      </c>
    </row>
    <row r="152" spans="1:13" x14ac:dyDescent="0.25">
      <c r="A152" t="s">
        <v>133</v>
      </c>
      <c r="B152" s="2">
        <v>45714</v>
      </c>
      <c r="C152" t="s">
        <v>17</v>
      </c>
      <c r="D152" t="s">
        <v>23</v>
      </c>
      <c r="E152" t="s">
        <v>11</v>
      </c>
      <c r="F152" t="s">
        <v>12</v>
      </c>
      <c r="G152">
        <v>100</v>
      </c>
      <c r="H152">
        <v>3</v>
      </c>
      <c r="I152">
        <v>300</v>
      </c>
      <c r="J152" t="s">
        <v>52</v>
      </c>
      <c r="K152" t="s">
        <v>80</v>
      </c>
      <c r="L152" t="s">
        <v>36</v>
      </c>
      <c r="M152" t="s">
        <v>8</v>
      </c>
    </row>
    <row r="153" spans="1:13" x14ac:dyDescent="0.25">
      <c r="A153" t="s">
        <v>181</v>
      </c>
      <c r="B153" s="2">
        <v>45714</v>
      </c>
      <c r="C153" t="s">
        <v>17</v>
      </c>
      <c r="D153" t="s">
        <v>23</v>
      </c>
      <c r="E153" t="s">
        <v>51</v>
      </c>
      <c r="F153" t="s">
        <v>32</v>
      </c>
      <c r="G153">
        <v>40</v>
      </c>
      <c r="H153">
        <v>5</v>
      </c>
      <c r="I153">
        <v>200</v>
      </c>
      <c r="J153" t="s">
        <v>13</v>
      </c>
      <c r="K153" t="s">
        <v>6</v>
      </c>
      <c r="L153" t="s">
        <v>7</v>
      </c>
      <c r="M153" t="s">
        <v>15</v>
      </c>
    </row>
    <row r="154" spans="1:13" x14ac:dyDescent="0.25">
      <c r="A154" t="s">
        <v>183</v>
      </c>
      <c r="B154" s="2">
        <v>45714</v>
      </c>
      <c r="C154" t="s">
        <v>17</v>
      </c>
      <c r="D154" t="s">
        <v>23</v>
      </c>
      <c r="E154" t="s">
        <v>51</v>
      </c>
      <c r="F154" t="s">
        <v>32</v>
      </c>
      <c r="G154">
        <v>40</v>
      </c>
      <c r="H154">
        <v>2</v>
      </c>
      <c r="I154">
        <v>80</v>
      </c>
      <c r="J154" t="s">
        <v>55</v>
      </c>
      <c r="K154" t="s">
        <v>80</v>
      </c>
      <c r="L154" t="s">
        <v>26</v>
      </c>
      <c r="M154" t="s">
        <v>15</v>
      </c>
    </row>
    <row r="155" spans="1:13" x14ac:dyDescent="0.25">
      <c r="A155" t="s">
        <v>121</v>
      </c>
      <c r="B155" s="2">
        <v>45713</v>
      </c>
      <c r="C155" t="s">
        <v>17</v>
      </c>
      <c r="D155" t="s">
        <v>34</v>
      </c>
      <c r="E155" t="s">
        <v>63</v>
      </c>
      <c r="F155" t="s">
        <v>59</v>
      </c>
      <c r="G155">
        <v>1200</v>
      </c>
      <c r="H155">
        <v>4</v>
      </c>
      <c r="I155">
        <v>4800</v>
      </c>
      <c r="J155" t="s">
        <v>49</v>
      </c>
      <c r="K155" t="s">
        <v>44</v>
      </c>
      <c r="L155" t="s">
        <v>56</v>
      </c>
      <c r="M155" t="s">
        <v>15</v>
      </c>
    </row>
    <row r="156" spans="1:13" x14ac:dyDescent="0.25">
      <c r="A156" t="s">
        <v>138</v>
      </c>
      <c r="B156" s="2">
        <v>45713</v>
      </c>
      <c r="C156" t="s">
        <v>17</v>
      </c>
      <c r="D156" t="s">
        <v>34</v>
      </c>
      <c r="E156" t="s">
        <v>29</v>
      </c>
      <c r="F156" t="s">
        <v>12</v>
      </c>
      <c r="G156">
        <v>150</v>
      </c>
      <c r="H156">
        <v>5</v>
      </c>
      <c r="I156">
        <v>750</v>
      </c>
      <c r="J156" t="s">
        <v>79</v>
      </c>
      <c r="K156" t="s">
        <v>25</v>
      </c>
      <c r="L156" t="s">
        <v>36</v>
      </c>
      <c r="M156" t="s">
        <v>8</v>
      </c>
    </row>
    <row r="157" spans="1:13" x14ac:dyDescent="0.25">
      <c r="A157" t="s">
        <v>216</v>
      </c>
      <c r="B157" s="2">
        <v>45713</v>
      </c>
      <c r="C157" t="s">
        <v>17</v>
      </c>
      <c r="D157" t="s">
        <v>34</v>
      </c>
      <c r="E157" t="s">
        <v>29</v>
      </c>
      <c r="F157" t="s">
        <v>12</v>
      </c>
      <c r="G157">
        <v>150</v>
      </c>
      <c r="H157">
        <v>5</v>
      </c>
      <c r="I157">
        <v>750</v>
      </c>
      <c r="J157" t="s">
        <v>52</v>
      </c>
      <c r="K157" t="s">
        <v>44</v>
      </c>
      <c r="L157" t="s">
        <v>7</v>
      </c>
      <c r="M157" t="s">
        <v>15</v>
      </c>
    </row>
    <row r="158" spans="1:13" x14ac:dyDescent="0.25">
      <c r="A158" t="s">
        <v>104</v>
      </c>
      <c r="B158" s="2">
        <v>45712</v>
      </c>
      <c r="C158" t="s">
        <v>17</v>
      </c>
      <c r="D158" t="s">
        <v>28</v>
      </c>
      <c r="E158" t="s">
        <v>54</v>
      </c>
      <c r="F158" t="s">
        <v>12</v>
      </c>
      <c r="G158">
        <v>800</v>
      </c>
      <c r="H158">
        <v>3</v>
      </c>
      <c r="I158">
        <v>2400</v>
      </c>
      <c r="J158" t="s">
        <v>19</v>
      </c>
      <c r="K158" t="s">
        <v>14</v>
      </c>
      <c r="L158" t="s">
        <v>26</v>
      </c>
      <c r="M158" t="s">
        <v>15</v>
      </c>
    </row>
    <row r="159" spans="1:13" x14ac:dyDescent="0.25">
      <c r="A159" t="s">
        <v>128</v>
      </c>
      <c r="B159" s="2">
        <v>45712</v>
      </c>
      <c r="C159" t="s">
        <v>17</v>
      </c>
      <c r="D159" t="s">
        <v>28</v>
      </c>
      <c r="E159" t="s">
        <v>58</v>
      </c>
      <c r="F159" t="s">
        <v>59</v>
      </c>
      <c r="G159">
        <v>600</v>
      </c>
      <c r="H159">
        <v>1</v>
      </c>
      <c r="I159">
        <v>600</v>
      </c>
      <c r="J159" t="s">
        <v>79</v>
      </c>
      <c r="K159" t="s">
        <v>25</v>
      </c>
      <c r="L159" t="s">
        <v>21</v>
      </c>
      <c r="M159" t="s">
        <v>37</v>
      </c>
    </row>
    <row r="160" spans="1:13" x14ac:dyDescent="0.25">
      <c r="A160" t="s">
        <v>134</v>
      </c>
      <c r="B160" s="2">
        <v>45712</v>
      </c>
      <c r="C160" t="s">
        <v>17</v>
      </c>
      <c r="D160" t="s">
        <v>28</v>
      </c>
      <c r="E160" t="s">
        <v>40</v>
      </c>
      <c r="F160" t="s">
        <v>12</v>
      </c>
      <c r="G160">
        <v>500</v>
      </c>
      <c r="H160">
        <v>3</v>
      </c>
      <c r="I160">
        <v>1500</v>
      </c>
      <c r="J160" t="s">
        <v>79</v>
      </c>
      <c r="K160" t="s">
        <v>61</v>
      </c>
      <c r="L160" t="s">
        <v>7</v>
      </c>
      <c r="M160" t="s">
        <v>8</v>
      </c>
    </row>
    <row r="161" spans="1:13" x14ac:dyDescent="0.25">
      <c r="A161" t="s">
        <v>210</v>
      </c>
      <c r="B161" s="2">
        <v>45712</v>
      </c>
      <c r="C161" t="s">
        <v>17</v>
      </c>
      <c r="D161" t="s">
        <v>28</v>
      </c>
      <c r="E161" t="s">
        <v>54</v>
      </c>
      <c r="F161" t="s">
        <v>12</v>
      </c>
      <c r="G161">
        <v>800</v>
      </c>
      <c r="H161">
        <v>3</v>
      </c>
      <c r="I161">
        <v>2400</v>
      </c>
      <c r="J161" t="s">
        <v>71</v>
      </c>
      <c r="K161" t="s">
        <v>42</v>
      </c>
      <c r="L161" t="s">
        <v>7</v>
      </c>
      <c r="M161" t="s">
        <v>15</v>
      </c>
    </row>
    <row r="162" spans="1:13" x14ac:dyDescent="0.25">
      <c r="A162" t="s">
        <v>73</v>
      </c>
      <c r="B162" s="2">
        <v>45711</v>
      </c>
      <c r="C162" t="s">
        <v>17</v>
      </c>
      <c r="D162" t="s">
        <v>39</v>
      </c>
      <c r="E162" t="s">
        <v>47</v>
      </c>
      <c r="F162" t="s">
        <v>48</v>
      </c>
      <c r="G162">
        <v>15</v>
      </c>
      <c r="H162">
        <v>1</v>
      </c>
      <c r="I162">
        <v>15</v>
      </c>
      <c r="J162" t="s">
        <v>5</v>
      </c>
      <c r="K162" t="s">
        <v>35</v>
      </c>
      <c r="L162" t="s">
        <v>26</v>
      </c>
      <c r="M162" t="s">
        <v>15</v>
      </c>
    </row>
    <row r="163" spans="1:13" x14ac:dyDescent="0.25">
      <c r="A163" t="s">
        <v>120</v>
      </c>
      <c r="B163" s="2">
        <v>45711</v>
      </c>
      <c r="C163" t="s">
        <v>17</v>
      </c>
      <c r="D163" t="s">
        <v>39</v>
      </c>
      <c r="E163" t="s">
        <v>11</v>
      </c>
      <c r="F163" t="s">
        <v>12</v>
      </c>
      <c r="G163">
        <v>100</v>
      </c>
      <c r="H163">
        <v>1</v>
      </c>
      <c r="I163">
        <v>100</v>
      </c>
      <c r="J163" t="s">
        <v>49</v>
      </c>
      <c r="K163" t="s">
        <v>35</v>
      </c>
      <c r="L163" t="s">
        <v>7</v>
      </c>
      <c r="M163" t="s">
        <v>8</v>
      </c>
    </row>
    <row r="164" spans="1:13" x14ac:dyDescent="0.25">
      <c r="A164" t="s">
        <v>132</v>
      </c>
      <c r="B164" s="2">
        <v>45711</v>
      </c>
      <c r="C164" t="s">
        <v>17</v>
      </c>
      <c r="D164" t="s">
        <v>39</v>
      </c>
      <c r="E164" t="s">
        <v>3</v>
      </c>
      <c r="F164" t="s">
        <v>4</v>
      </c>
      <c r="G164">
        <v>60</v>
      </c>
      <c r="H164">
        <v>4</v>
      </c>
      <c r="I164">
        <v>240</v>
      </c>
      <c r="J164" t="s">
        <v>41</v>
      </c>
      <c r="K164" t="s">
        <v>14</v>
      </c>
      <c r="L164" t="s">
        <v>7</v>
      </c>
      <c r="M164" t="s">
        <v>15</v>
      </c>
    </row>
    <row r="165" spans="1:13" x14ac:dyDescent="0.25">
      <c r="A165" t="s">
        <v>166</v>
      </c>
      <c r="B165" s="2">
        <v>45711</v>
      </c>
      <c r="C165" t="s">
        <v>17</v>
      </c>
      <c r="D165" t="s">
        <v>39</v>
      </c>
      <c r="E165" t="s">
        <v>3</v>
      </c>
      <c r="F165" t="s">
        <v>4</v>
      </c>
      <c r="G165">
        <v>60</v>
      </c>
      <c r="H165">
        <v>1</v>
      </c>
      <c r="I165">
        <v>60</v>
      </c>
      <c r="J165" t="s">
        <v>5</v>
      </c>
      <c r="K165" t="s">
        <v>35</v>
      </c>
      <c r="L165" t="s">
        <v>26</v>
      </c>
      <c r="M165" t="s">
        <v>15</v>
      </c>
    </row>
    <row r="166" spans="1:13" x14ac:dyDescent="0.25">
      <c r="A166" t="s">
        <v>175</v>
      </c>
      <c r="B166" s="2">
        <v>45711</v>
      </c>
      <c r="C166" t="s">
        <v>17</v>
      </c>
      <c r="D166" t="s">
        <v>39</v>
      </c>
      <c r="E166" t="s">
        <v>47</v>
      </c>
      <c r="F166" t="s">
        <v>48</v>
      </c>
      <c r="G166">
        <v>15</v>
      </c>
      <c r="H166">
        <v>3</v>
      </c>
      <c r="I166">
        <v>45</v>
      </c>
      <c r="J166" t="s">
        <v>71</v>
      </c>
      <c r="K166" t="s">
        <v>44</v>
      </c>
      <c r="L166" t="s">
        <v>56</v>
      </c>
      <c r="M166" t="s">
        <v>8</v>
      </c>
    </row>
    <row r="167" spans="1:13" x14ac:dyDescent="0.25">
      <c r="A167" t="s">
        <v>177</v>
      </c>
      <c r="B167" s="2">
        <v>45711</v>
      </c>
      <c r="C167" t="s">
        <v>17</v>
      </c>
      <c r="D167" t="s">
        <v>39</v>
      </c>
      <c r="E167" t="s">
        <v>40</v>
      </c>
      <c r="F167" t="s">
        <v>12</v>
      </c>
      <c r="G167">
        <v>500</v>
      </c>
      <c r="H167">
        <v>1</v>
      </c>
      <c r="I167">
        <v>500</v>
      </c>
      <c r="J167" t="s">
        <v>13</v>
      </c>
      <c r="K167" t="s">
        <v>20</v>
      </c>
      <c r="L167" t="s">
        <v>21</v>
      </c>
      <c r="M167" t="s">
        <v>37</v>
      </c>
    </row>
    <row r="168" spans="1:13" x14ac:dyDescent="0.25">
      <c r="A168" t="s">
        <v>185</v>
      </c>
      <c r="B168" s="2">
        <v>45711</v>
      </c>
      <c r="C168" t="s">
        <v>17</v>
      </c>
      <c r="D168" t="s">
        <v>39</v>
      </c>
      <c r="E168" t="s">
        <v>54</v>
      </c>
      <c r="F168" t="s">
        <v>12</v>
      </c>
      <c r="G168">
        <v>800</v>
      </c>
      <c r="H168">
        <v>1</v>
      </c>
      <c r="I168">
        <v>800</v>
      </c>
      <c r="J168" t="s">
        <v>13</v>
      </c>
      <c r="K168" t="s">
        <v>6</v>
      </c>
      <c r="L168" t="s">
        <v>21</v>
      </c>
      <c r="M168" t="s">
        <v>15</v>
      </c>
    </row>
    <row r="169" spans="1:13" x14ac:dyDescent="0.25">
      <c r="A169" t="s">
        <v>205</v>
      </c>
      <c r="B169" s="2">
        <v>45711</v>
      </c>
      <c r="C169" t="s">
        <v>17</v>
      </c>
      <c r="D169" t="s">
        <v>39</v>
      </c>
      <c r="E169" t="s">
        <v>29</v>
      </c>
      <c r="F169" t="s">
        <v>12</v>
      </c>
      <c r="G169">
        <v>150</v>
      </c>
      <c r="H169">
        <v>5</v>
      </c>
      <c r="I169">
        <v>750</v>
      </c>
      <c r="J169" t="s">
        <v>41</v>
      </c>
      <c r="K169" t="s">
        <v>14</v>
      </c>
      <c r="L169" t="s">
        <v>36</v>
      </c>
      <c r="M169" t="s">
        <v>15</v>
      </c>
    </row>
    <row r="170" spans="1:13" x14ac:dyDescent="0.25">
      <c r="A170" t="s">
        <v>242</v>
      </c>
      <c r="B170" s="2">
        <v>45711</v>
      </c>
      <c r="C170" t="s">
        <v>17</v>
      </c>
      <c r="D170" t="s">
        <v>39</v>
      </c>
      <c r="E170" t="s">
        <v>3</v>
      </c>
      <c r="F170" t="s">
        <v>4</v>
      </c>
      <c r="G170">
        <v>60</v>
      </c>
      <c r="H170">
        <v>1</v>
      </c>
      <c r="I170">
        <v>60</v>
      </c>
      <c r="J170" t="s">
        <v>41</v>
      </c>
      <c r="K170" t="s">
        <v>35</v>
      </c>
      <c r="L170" t="s">
        <v>36</v>
      </c>
      <c r="M170" t="s">
        <v>37</v>
      </c>
    </row>
    <row r="171" spans="1:13" x14ac:dyDescent="0.25">
      <c r="A171" t="s">
        <v>156</v>
      </c>
      <c r="B171" s="2">
        <v>45710</v>
      </c>
      <c r="C171" t="s">
        <v>17</v>
      </c>
      <c r="D171" t="s">
        <v>18</v>
      </c>
      <c r="E171" t="s">
        <v>51</v>
      </c>
      <c r="F171" t="s">
        <v>32</v>
      </c>
      <c r="G171">
        <v>40</v>
      </c>
      <c r="H171">
        <v>5</v>
      </c>
      <c r="I171">
        <v>200</v>
      </c>
      <c r="J171" t="s">
        <v>79</v>
      </c>
      <c r="K171" t="s">
        <v>25</v>
      </c>
      <c r="L171" t="s">
        <v>7</v>
      </c>
      <c r="M171" t="s">
        <v>15</v>
      </c>
    </row>
    <row r="172" spans="1:13" x14ac:dyDescent="0.25">
      <c r="A172" t="s">
        <v>213</v>
      </c>
      <c r="B172" s="2">
        <v>45710</v>
      </c>
      <c r="C172" t="s">
        <v>17</v>
      </c>
      <c r="D172" t="s">
        <v>18</v>
      </c>
      <c r="E172" t="s">
        <v>11</v>
      </c>
      <c r="F172" t="s">
        <v>12</v>
      </c>
      <c r="G172">
        <v>100</v>
      </c>
      <c r="H172">
        <v>1</v>
      </c>
      <c r="I172">
        <v>100</v>
      </c>
      <c r="J172" t="s">
        <v>13</v>
      </c>
      <c r="K172" t="s">
        <v>67</v>
      </c>
      <c r="L172" t="s">
        <v>26</v>
      </c>
      <c r="M172" t="s">
        <v>37</v>
      </c>
    </row>
    <row r="173" spans="1:13" x14ac:dyDescent="0.25">
      <c r="A173" t="s">
        <v>251</v>
      </c>
      <c r="B173" s="2">
        <v>45710</v>
      </c>
      <c r="C173" t="s">
        <v>17</v>
      </c>
      <c r="D173" t="s">
        <v>18</v>
      </c>
      <c r="E173" t="s">
        <v>40</v>
      </c>
      <c r="F173" t="s">
        <v>12</v>
      </c>
      <c r="G173">
        <v>500</v>
      </c>
      <c r="H173">
        <v>3</v>
      </c>
      <c r="I173">
        <v>1500</v>
      </c>
      <c r="J173" t="s">
        <v>71</v>
      </c>
      <c r="K173" t="s">
        <v>25</v>
      </c>
      <c r="L173" t="s">
        <v>26</v>
      </c>
      <c r="M173" t="s">
        <v>37</v>
      </c>
    </row>
    <row r="174" spans="1:13" x14ac:dyDescent="0.25">
      <c r="A174" t="s">
        <v>254</v>
      </c>
      <c r="B174" s="2">
        <v>45709</v>
      </c>
      <c r="C174" t="s">
        <v>17</v>
      </c>
      <c r="D174" t="s">
        <v>2</v>
      </c>
      <c r="E174" t="s">
        <v>40</v>
      </c>
      <c r="F174" t="s">
        <v>12</v>
      </c>
      <c r="G174">
        <v>500</v>
      </c>
      <c r="H174">
        <v>2</v>
      </c>
      <c r="I174">
        <v>1000</v>
      </c>
      <c r="J174" t="s">
        <v>55</v>
      </c>
      <c r="K174" t="s">
        <v>42</v>
      </c>
      <c r="L174" t="s">
        <v>26</v>
      </c>
      <c r="M174" t="s">
        <v>8</v>
      </c>
    </row>
    <row r="175" spans="1:13" x14ac:dyDescent="0.25">
      <c r="A175" t="s">
        <v>255</v>
      </c>
      <c r="B175" s="2">
        <v>45709</v>
      </c>
      <c r="C175" t="s">
        <v>17</v>
      </c>
      <c r="D175" t="s">
        <v>2</v>
      </c>
      <c r="E175" t="s">
        <v>63</v>
      </c>
      <c r="F175" t="s">
        <v>59</v>
      </c>
      <c r="G175">
        <v>1200</v>
      </c>
      <c r="H175">
        <v>3</v>
      </c>
      <c r="I175">
        <v>3600</v>
      </c>
      <c r="J175" t="s">
        <v>19</v>
      </c>
      <c r="K175" t="s">
        <v>25</v>
      </c>
      <c r="L175" t="s">
        <v>7</v>
      </c>
      <c r="M175" t="s">
        <v>37</v>
      </c>
    </row>
    <row r="176" spans="1:13" x14ac:dyDescent="0.25">
      <c r="A176" t="s">
        <v>60</v>
      </c>
      <c r="B176" s="2">
        <v>45708</v>
      </c>
      <c r="C176" t="s">
        <v>17</v>
      </c>
      <c r="D176" t="s">
        <v>10</v>
      </c>
      <c r="E176" t="s">
        <v>29</v>
      </c>
      <c r="F176" t="s">
        <v>12</v>
      </c>
      <c r="G176">
        <v>150</v>
      </c>
      <c r="H176">
        <v>4</v>
      </c>
      <c r="I176">
        <v>600</v>
      </c>
      <c r="J176" t="s">
        <v>19</v>
      </c>
      <c r="K176" t="s">
        <v>61</v>
      </c>
      <c r="L176" t="s">
        <v>26</v>
      </c>
      <c r="M176" t="s">
        <v>37</v>
      </c>
    </row>
    <row r="177" spans="1:13" x14ac:dyDescent="0.25">
      <c r="A177" t="s">
        <v>93</v>
      </c>
      <c r="B177" s="2">
        <v>45708</v>
      </c>
      <c r="C177" t="s">
        <v>17</v>
      </c>
      <c r="D177" t="s">
        <v>10</v>
      </c>
      <c r="E177" t="s">
        <v>47</v>
      </c>
      <c r="F177" t="s">
        <v>48</v>
      </c>
      <c r="G177">
        <v>15</v>
      </c>
      <c r="H177">
        <v>1</v>
      </c>
      <c r="I177">
        <v>15</v>
      </c>
      <c r="J177" t="s">
        <v>79</v>
      </c>
      <c r="K177" t="s">
        <v>42</v>
      </c>
      <c r="L177" t="s">
        <v>26</v>
      </c>
      <c r="M177" t="s">
        <v>8</v>
      </c>
    </row>
    <row r="178" spans="1:13" x14ac:dyDescent="0.25">
      <c r="A178" t="s">
        <v>125</v>
      </c>
      <c r="B178" s="2">
        <v>45708</v>
      </c>
      <c r="C178" t="s">
        <v>17</v>
      </c>
      <c r="D178" t="s">
        <v>10</v>
      </c>
      <c r="E178" t="s">
        <v>40</v>
      </c>
      <c r="F178" t="s">
        <v>12</v>
      </c>
      <c r="G178">
        <v>500</v>
      </c>
      <c r="H178">
        <v>5</v>
      </c>
      <c r="I178">
        <v>2500</v>
      </c>
      <c r="J178" t="s">
        <v>13</v>
      </c>
      <c r="K178" t="s">
        <v>42</v>
      </c>
      <c r="L178" t="s">
        <v>26</v>
      </c>
      <c r="M178" t="s">
        <v>8</v>
      </c>
    </row>
    <row r="179" spans="1:13" x14ac:dyDescent="0.25">
      <c r="A179" t="s">
        <v>153</v>
      </c>
      <c r="B179" s="2">
        <v>45708</v>
      </c>
      <c r="C179" t="s">
        <v>17</v>
      </c>
      <c r="D179" t="s">
        <v>10</v>
      </c>
      <c r="E179" t="s">
        <v>47</v>
      </c>
      <c r="F179" t="s">
        <v>48</v>
      </c>
      <c r="G179">
        <v>15</v>
      </c>
      <c r="H179">
        <v>5</v>
      </c>
      <c r="I179">
        <v>75</v>
      </c>
      <c r="J179" t="s">
        <v>19</v>
      </c>
      <c r="K179" t="s">
        <v>20</v>
      </c>
      <c r="L179" t="s">
        <v>36</v>
      </c>
      <c r="M179" t="s">
        <v>15</v>
      </c>
    </row>
    <row r="180" spans="1:13" x14ac:dyDescent="0.25">
      <c r="A180" t="s">
        <v>215</v>
      </c>
      <c r="B180" s="2">
        <v>45708</v>
      </c>
      <c r="C180" t="s">
        <v>17</v>
      </c>
      <c r="D180" t="s">
        <v>10</v>
      </c>
      <c r="E180" t="s">
        <v>3</v>
      </c>
      <c r="F180" t="s">
        <v>4</v>
      </c>
      <c r="G180">
        <v>60</v>
      </c>
      <c r="H180">
        <v>2</v>
      </c>
      <c r="I180">
        <v>120</v>
      </c>
      <c r="J180" t="s">
        <v>71</v>
      </c>
      <c r="K180" t="s">
        <v>35</v>
      </c>
      <c r="L180" t="s">
        <v>36</v>
      </c>
      <c r="M180" t="s">
        <v>37</v>
      </c>
    </row>
    <row r="181" spans="1:13" x14ac:dyDescent="0.25">
      <c r="A181" t="s">
        <v>246</v>
      </c>
      <c r="B181" s="2">
        <v>45708</v>
      </c>
      <c r="C181" t="s">
        <v>17</v>
      </c>
      <c r="D181" t="s">
        <v>10</v>
      </c>
      <c r="E181" t="s">
        <v>51</v>
      </c>
      <c r="F181" t="s">
        <v>32</v>
      </c>
      <c r="G181">
        <v>40</v>
      </c>
      <c r="H181">
        <v>4</v>
      </c>
      <c r="I181">
        <v>160</v>
      </c>
      <c r="J181" t="s">
        <v>19</v>
      </c>
      <c r="K181" t="s">
        <v>14</v>
      </c>
      <c r="L181" t="s">
        <v>7</v>
      </c>
      <c r="M181" t="s">
        <v>8</v>
      </c>
    </row>
    <row r="182" spans="1:13" x14ac:dyDescent="0.25">
      <c r="A182" t="s">
        <v>250</v>
      </c>
      <c r="B182" s="2">
        <v>45708</v>
      </c>
      <c r="C182" t="s">
        <v>17</v>
      </c>
      <c r="D182" t="s">
        <v>10</v>
      </c>
      <c r="E182" t="s">
        <v>54</v>
      </c>
      <c r="F182" t="s">
        <v>12</v>
      </c>
      <c r="G182">
        <v>800</v>
      </c>
      <c r="H182">
        <v>4</v>
      </c>
      <c r="I182">
        <v>3200</v>
      </c>
      <c r="J182" t="s">
        <v>79</v>
      </c>
      <c r="K182" t="s">
        <v>61</v>
      </c>
      <c r="L182" t="s">
        <v>21</v>
      </c>
      <c r="M182" t="s">
        <v>15</v>
      </c>
    </row>
    <row r="183" spans="1:13" x14ac:dyDescent="0.25">
      <c r="A183" t="s">
        <v>285</v>
      </c>
      <c r="B183" s="2">
        <v>45708</v>
      </c>
      <c r="C183" t="s">
        <v>17</v>
      </c>
      <c r="D183" t="s">
        <v>10</v>
      </c>
      <c r="E183" t="s">
        <v>3</v>
      </c>
      <c r="F183" t="s">
        <v>4</v>
      </c>
      <c r="G183">
        <v>60</v>
      </c>
      <c r="H183">
        <v>1</v>
      </c>
      <c r="I183">
        <v>60</v>
      </c>
      <c r="J183" t="s">
        <v>49</v>
      </c>
      <c r="K183" t="s">
        <v>44</v>
      </c>
      <c r="L183" t="s">
        <v>36</v>
      </c>
      <c r="M183" t="s">
        <v>8</v>
      </c>
    </row>
    <row r="184" spans="1:13" x14ac:dyDescent="0.25">
      <c r="A184" t="s">
        <v>22</v>
      </c>
      <c r="B184" s="2">
        <v>45707</v>
      </c>
      <c r="C184" t="s">
        <v>17</v>
      </c>
      <c r="D184" t="s">
        <v>23</v>
      </c>
      <c r="E184" t="s">
        <v>3</v>
      </c>
      <c r="F184" t="s">
        <v>4</v>
      </c>
      <c r="G184">
        <v>60</v>
      </c>
      <c r="H184">
        <v>3</v>
      </c>
      <c r="I184">
        <v>180</v>
      </c>
      <c r="J184" t="s">
        <v>24</v>
      </c>
      <c r="K184" t="s">
        <v>25</v>
      </c>
      <c r="L184" t="s">
        <v>26</v>
      </c>
      <c r="M184" t="s">
        <v>15</v>
      </c>
    </row>
    <row r="185" spans="1:13" x14ac:dyDescent="0.25">
      <c r="A185" t="s">
        <v>103</v>
      </c>
      <c r="B185" s="2">
        <v>45707</v>
      </c>
      <c r="C185" t="s">
        <v>17</v>
      </c>
      <c r="D185" t="s">
        <v>23</v>
      </c>
      <c r="E185" t="s">
        <v>47</v>
      </c>
      <c r="F185" t="s">
        <v>48</v>
      </c>
      <c r="G185">
        <v>15</v>
      </c>
      <c r="H185">
        <v>1</v>
      </c>
      <c r="I185">
        <v>15</v>
      </c>
      <c r="J185" t="s">
        <v>5</v>
      </c>
      <c r="K185" t="s">
        <v>35</v>
      </c>
      <c r="L185" t="s">
        <v>56</v>
      </c>
      <c r="M185" t="s">
        <v>8</v>
      </c>
    </row>
    <row r="186" spans="1:13" x14ac:dyDescent="0.25">
      <c r="A186" t="s">
        <v>302</v>
      </c>
      <c r="B186" s="2">
        <v>45707</v>
      </c>
      <c r="C186" t="s">
        <v>17</v>
      </c>
      <c r="D186" t="s">
        <v>23</v>
      </c>
      <c r="E186" t="s">
        <v>40</v>
      </c>
      <c r="F186" t="s">
        <v>12</v>
      </c>
      <c r="G186">
        <v>500</v>
      </c>
      <c r="H186">
        <v>4</v>
      </c>
      <c r="I186">
        <v>2000</v>
      </c>
      <c r="J186" t="s">
        <v>13</v>
      </c>
      <c r="K186" t="s">
        <v>61</v>
      </c>
      <c r="L186" t="s">
        <v>21</v>
      </c>
      <c r="M186" t="s">
        <v>37</v>
      </c>
    </row>
    <row r="187" spans="1:13" x14ac:dyDescent="0.25">
      <c r="A187" t="s">
        <v>101</v>
      </c>
      <c r="B187" s="2">
        <v>45706</v>
      </c>
      <c r="C187" t="s">
        <v>17</v>
      </c>
      <c r="D187" t="s">
        <v>34</v>
      </c>
      <c r="E187" t="s">
        <v>40</v>
      </c>
      <c r="F187" t="s">
        <v>12</v>
      </c>
      <c r="G187">
        <v>500</v>
      </c>
      <c r="H187">
        <v>4</v>
      </c>
      <c r="I187">
        <v>2000</v>
      </c>
      <c r="J187" t="s">
        <v>5</v>
      </c>
      <c r="K187" t="s">
        <v>80</v>
      </c>
      <c r="L187" t="s">
        <v>7</v>
      </c>
      <c r="M187" t="s">
        <v>37</v>
      </c>
    </row>
    <row r="188" spans="1:13" x14ac:dyDescent="0.25">
      <c r="A188" t="s">
        <v>151</v>
      </c>
      <c r="B188" s="2">
        <v>45706</v>
      </c>
      <c r="C188" t="s">
        <v>17</v>
      </c>
      <c r="D188" t="s">
        <v>34</v>
      </c>
      <c r="E188" t="s">
        <v>58</v>
      </c>
      <c r="F188" t="s">
        <v>59</v>
      </c>
      <c r="G188">
        <v>600</v>
      </c>
      <c r="H188">
        <v>5</v>
      </c>
      <c r="I188">
        <v>3000</v>
      </c>
      <c r="J188" t="s">
        <v>52</v>
      </c>
      <c r="K188" t="s">
        <v>61</v>
      </c>
      <c r="L188" t="s">
        <v>7</v>
      </c>
      <c r="M188" t="s">
        <v>37</v>
      </c>
    </row>
    <row r="189" spans="1:13" x14ac:dyDescent="0.25">
      <c r="A189" t="s">
        <v>162</v>
      </c>
      <c r="B189" s="2">
        <v>45706</v>
      </c>
      <c r="C189" t="s">
        <v>17</v>
      </c>
      <c r="D189" t="s">
        <v>34</v>
      </c>
      <c r="E189" t="s">
        <v>40</v>
      </c>
      <c r="F189" t="s">
        <v>12</v>
      </c>
      <c r="G189">
        <v>500</v>
      </c>
      <c r="H189">
        <v>5</v>
      </c>
      <c r="I189">
        <v>2500</v>
      </c>
      <c r="J189" t="s">
        <v>24</v>
      </c>
      <c r="K189" t="s">
        <v>25</v>
      </c>
      <c r="L189" t="s">
        <v>21</v>
      </c>
      <c r="M189" t="s">
        <v>15</v>
      </c>
    </row>
    <row r="190" spans="1:13" x14ac:dyDescent="0.25">
      <c r="A190" t="s">
        <v>173</v>
      </c>
      <c r="B190" s="2">
        <v>45706</v>
      </c>
      <c r="C190" t="s">
        <v>17</v>
      </c>
      <c r="D190" t="s">
        <v>34</v>
      </c>
      <c r="E190" t="s">
        <v>40</v>
      </c>
      <c r="F190" t="s">
        <v>12</v>
      </c>
      <c r="G190">
        <v>500</v>
      </c>
      <c r="H190">
        <v>1</v>
      </c>
      <c r="I190">
        <v>500</v>
      </c>
      <c r="J190" t="s">
        <v>19</v>
      </c>
      <c r="K190" t="s">
        <v>25</v>
      </c>
      <c r="L190" t="s">
        <v>56</v>
      </c>
      <c r="M190" t="s">
        <v>15</v>
      </c>
    </row>
    <row r="191" spans="1:13" x14ac:dyDescent="0.25">
      <c r="A191" t="s">
        <v>179</v>
      </c>
      <c r="B191" s="2">
        <v>45706</v>
      </c>
      <c r="C191" t="s">
        <v>17</v>
      </c>
      <c r="D191" t="s">
        <v>34</v>
      </c>
      <c r="E191" t="s">
        <v>31</v>
      </c>
      <c r="F191" t="s">
        <v>32</v>
      </c>
      <c r="G191">
        <v>20</v>
      </c>
      <c r="H191">
        <v>3</v>
      </c>
      <c r="I191">
        <v>60</v>
      </c>
      <c r="J191" t="s">
        <v>5</v>
      </c>
      <c r="K191" t="s">
        <v>25</v>
      </c>
      <c r="L191" t="s">
        <v>7</v>
      </c>
      <c r="M191" t="s">
        <v>37</v>
      </c>
    </row>
    <row r="192" spans="1:13" x14ac:dyDescent="0.25">
      <c r="A192" t="s">
        <v>266</v>
      </c>
      <c r="B192" s="2">
        <v>45706</v>
      </c>
      <c r="C192" t="s">
        <v>17</v>
      </c>
      <c r="D192" t="s">
        <v>34</v>
      </c>
      <c r="E192" t="s">
        <v>29</v>
      </c>
      <c r="F192" t="s">
        <v>12</v>
      </c>
      <c r="G192">
        <v>150</v>
      </c>
      <c r="H192">
        <v>5</v>
      </c>
      <c r="I192">
        <v>750</v>
      </c>
      <c r="J192" t="s">
        <v>13</v>
      </c>
      <c r="K192" t="s">
        <v>35</v>
      </c>
      <c r="L192" t="s">
        <v>7</v>
      </c>
      <c r="M192" t="s">
        <v>37</v>
      </c>
    </row>
    <row r="193" spans="1:13" x14ac:dyDescent="0.25">
      <c r="A193" t="s">
        <v>46</v>
      </c>
      <c r="B193" s="2">
        <v>45705</v>
      </c>
      <c r="C193" t="s">
        <v>17</v>
      </c>
      <c r="D193" t="s">
        <v>28</v>
      </c>
      <c r="E193" t="s">
        <v>47</v>
      </c>
      <c r="F193" t="s">
        <v>48</v>
      </c>
      <c r="G193">
        <v>15</v>
      </c>
      <c r="H193">
        <v>2</v>
      </c>
      <c r="I193">
        <v>30</v>
      </c>
      <c r="J193" t="s">
        <v>49</v>
      </c>
      <c r="K193" t="s">
        <v>44</v>
      </c>
      <c r="L193" t="s">
        <v>21</v>
      </c>
      <c r="M193" t="s">
        <v>15</v>
      </c>
    </row>
    <row r="194" spans="1:13" x14ac:dyDescent="0.25">
      <c r="A194" t="s">
        <v>147</v>
      </c>
      <c r="B194" s="2">
        <v>45705</v>
      </c>
      <c r="C194" t="s">
        <v>17</v>
      </c>
      <c r="D194" t="s">
        <v>28</v>
      </c>
      <c r="E194" t="s">
        <v>29</v>
      </c>
      <c r="F194" t="s">
        <v>12</v>
      </c>
      <c r="G194">
        <v>150</v>
      </c>
      <c r="H194">
        <v>4</v>
      </c>
      <c r="I194">
        <v>600</v>
      </c>
      <c r="J194" t="s">
        <v>71</v>
      </c>
      <c r="K194" t="s">
        <v>6</v>
      </c>
      <c r="L194" t="s">
        <v>7</v>
      </c>
      <c r="M194" t="s">
        <v>8</v>
      </c>
    </row>
    <row r="195" spans="1:13" x14ac:dyDescent="0.25">
      <c r="A195" t="s">
        <v>236</v>
      </c>
      <c r="B195" s="2">
        <v>45705</v>
      </c>
      <c r="C195" t="s">
        <v>17</v>
      </c>
      <c r="D195" t="s">
        <v>28</v>
      </c>
      <c r="E195" t="s">
        <v>47</v>
      </c>
      <c r="F195" t="s">
        <v>48</v>
      </c>
      <c r="G195">
        <v>15</v>
      </c>
      <c r="H195">
        <v>5</v>
      </c>
      <c r="I195">
        <v>75</v>
      </c>
      <c r="J195" t="s">
        <v>55</v>
      </c>
      <c r="K195" t="s">
        <v>42</v>
      </c>
      <c r="L195" t="s">
        <v>7</v>
      </c>
      <c r="M195" t="s">
        <v>15</v>
      </c>
    </row>
    <row r="196" spans="1:13" x14ac:dyDescent="0.25">
      <c r="A196" t="s">
        <v>271</v>
      </c>
      <c r="B196" s="2">
        <v>45705</v>
      </c>
      <c r="C196" t="s">
        <v>17</v>
      </c>
      <c r="D196" t="s">
        <v>28</v>
      </c>
      <c r="E196" t="s">
        <v>11</v>
      </c>
      <c r="F196" t="s">
        <v>12</v>
      </c>
      <c r="G196">
        <v>100</v>
      </c>
      <c r="H196">
        <v>3</v>
      </c>
      <c r="I196">
        <v>300</v>
      </c>
      <c r="J196" t="s">
        <v>49</v>
      </c>
      <c r="K196" t="s">
        <v>35</v>
      </c>
      <c r="L196" t="s">
        <v>36</v>
      </c>
      <c r="M196" t="s">
        <v>8</v>
      </c>
    </row>
    <row r="197" spans="1:13" x14ac:dyDescent="0.25">
      <c r="A197" t="s">
        <v>89</v>
      </c>
      <c r="B197" s="2">
        <v>45704</v>
      </c>
      <c r="C197" t="s">
        <v>17</v>
      </c>
      <c r="D197" t="s">
        <v>39</v>
      </c>
      <c r="E197" t="s">
        <v>11</v>
      </c>
      <c r="F197" t="s">
        <v>12</v>
      </c>
      <c r="G197">
        <v>100</v>
      </c>
      <c r="H197">
        <v>3</v>
      </c>
      <c r="I197">
        <v>300</v>
      </c>
      <c r="J197" t="s">
        <v>52</v>
      </c>
      <c r="K197" t="s">
        <v>6</v>
      </c>
      <c r="L197" t="s">
        <v>7</v>
      </c>
      <c r="M197" t="s">
        <v>8</v>
      </c>
    </row>
    <row r="198" spans="1:13" x14ac:dyDescent="0.25">
      <c r="A198" t="s">
        <v>172</v>
      </c>
      <c r="B198" s="2">
        <v>45704</v>
      </c>
      <c r="C198" t="s">
        <v>17</v>
      </c>
      <c r="D198" t="s">
        <v>39</v>
      </c>
      <c r="E198" t="s">
        <v>54</v>
      </c>
      <c r="F198" t="s">
        <v>12</v>
      </c>
      <c r="G198">
        <v>800</v>
      </c>
      <c r="H198">
        <v>5</v>
      </c>
      <c r="I198">
        <v>4000</v>
      </c>
      <c r="J198" t="s">
        <v>13</v>
      </c>
      <c r="K198" t="s">
        <v>20</v>
      </c>
      <c r="L198" t="s">
        <v>36</v>
      </c>
      <c r="M198" t="s">
        <v>37</v>
      </c>
    </row>
    <row r="199" spans="1:13" x14ac:dyDescent="0.25">
      <c r="A199" t="s">
        <v>211</v>
      </c>
      <c r="B199" s="2">
        <v>45704</v>
      </c>
      <c r="C199" t="s">
        <v>17</v>
      </c>
      <c r="D199" t="s">
        <v>39</v>
      </c>
      <c r="E199" t="s">
        <v>31</v>
      </c>
      <c r="F199" t="s">
        <v>32</v>
      </c>
      <c r="G199">
        <v>20</v>
      </c>
      <c r="H199">
        <v>2</v>
      </c>
      <c r="I199">
        <v>40</v>
      </c>
      <c r="J199" t="s">
        <v>49</v>
      </c>
      <c r="K199" t="s">
        <v>25</v>
      </c>
      <c r="L199" t="s">
        <v>56</v>
      </c>
      <c r="M199" t="s">
        <v>8</v>
      </c>
    </row>
    <row r="200" spans="1:13" x14ac:dyDescent="0.25">
      <c r="A200" t="s">
        <v>274</v>
      </c>
      <c r="B200" s="2">
        <v>45704</v>
      </c>
      <c r="C200" t="s">
        <v>17</v>
      </c>
      <c r="D200" t="s">
        <v>39</v>
      </c>
      <c r="E200" t="s">
        <v>58</v>
      </c>
      <c r="F200" t="s">
        <v>59</v>
      </c>
      <c r="G200">
        <v>600</v>
      </c>
      <c r="H200">
        <v>2</v>
      </c>
      <c r="I200">
        <v>1200</v>
      </c>
      <c r="J200" t="s">
        <v>71</v>
      </c>
      <c r="K200" t="s">
        <v>61</v>
      </c>
      <c r="L200" t="s">
        <v>36</v>
      </c>
      <c r="M200" t="s">
        <v>8</v>
      </c>
    </row>
    <row r="201" spans="1:13" x14ac:dyDescent="0.25">
      <c r="A201" t="s">
        <v>283</v>
      </c>
      <c r="B201" s="2">
        <v>45704</v>
      </c>
      <c r="C201" t="s">
        <v>17</v>
      </c>
      <c r="D201" t="s">
        <v>39</v>
      </c>
      <c r="E201" t="s">
        <v>54</v>
      </c>
      <c r="F201" t="s">
        <v>12</v>
      </c>
      <c r="G201">
        <v>800</v>
      </c>
      <c r="H201">
        <v>5</v>
      </c>
      <c r="I201">
        <v>4000</v>
      </c>
      <c r="J201" t="s">
        <v>79</v>
      </c>
      <c r="K201" t="s">
        <v>44</v>
      </c>
      <c r="L201" t="s">
        <v>26</v>
      </c>
      <c r="M201" t="s">
        <v>8</v>
      </c>
    </row>
    <row r="202" spans="1:13" x14ac:dyDescent="0.25">
      <c r="A202" t="s">
        <v>16</v>
      </c>
      <c r="B202" s="2">
        <v>45703</v>
      </c>
      <c r="C202" t="s">
        <v>17</v>
      </c>
      <c r="D202" t="s">
        <v>18</v>
      </c>
      <c r="E202" t="s">
        <v>3</v>
      </c>
      <c r="F202" t="s">
        <v>4</v>
      </c>
      <c r="G202">
        <v>60</v>
      </c>
      <c r="H202">
        <v>2</v>
      </c>
      <c r="I202">
        <v>120</v>
      </c>
      <c r="J202" t="s">
        <v>19</v>
      </c>
      <c r="K202" t="s">
        <v>20</v>
      </c>
      <c r="L202" t="s">
        <v>21</v>
      </c>
      <c r="M202" t="s">
        <v>8</v>
      </c>
    </row>
    <row r="203" spans="1:13" x14ac:dyDescent="0.25">
      <c r="A203" t="s">
        <v>270</v>
      </c>
      <c r="B203" s="2">
        <v>45703</v>
      </c>
      <c r="C203" t="s">
        <v>17</v>
      </c>
      <c r="D203" t="s">
        <v>18</v>
      </c>
      <c r="E203" t="s">
        <v>11</v>
      </c>
      <c r="F203" t="s">
        <v>12</v>
      </c>
      <c r="G203">
        <v>100</v>
      </c>
      <c r="H203">
        <v>4</v>
      </c>
      <c r="I203">
        <v>400</v>
      </c>
      <c r="J203" t="s">
        <v>55</v>
      </c>
      <c r="K203" t="s">
        <v>6</v>
      </c>
      <c r="L203" t="s">
        <v>56</v>
      </c>
      <c r="M203" t="s">
        <v>8</v>
      </c>
    </row>
    <row r="204" spans="1:13" x14ac:dyDescent="0.25">
      <c r="A204" t="s">
        <v>76</v>
      </c>
      <c r="B204" s="2">
        <v>45702</v>
      </c>
      <c r="C204" t="s">
        <v>17</v>
      </c>
      <c r="D204" t="s">
        <v>2</v>
      </c>
      <c r="E204" t="s">
        <v>58</v>
      </c>
      <c r="F204" t="s">
        <v>59</v>
      </c>
      <c r="G204">
        <v>600</v>
      </c>
      <c r="H204">
        <v>1</v>
      </c>
      <c r="I204">
        <v>600</v>
      </c>
      <c r="J204" t="s">
        <v>24</v>
      </c>
      <c r="K204" t="s">
        <v>44</v>
      </c>
      <c r="L204" t="s">
        <v>7</v>
      </c>
      <c r="M204" t="s">
        <v>8</v>
      </c>
    </row>
    <row r="205" spans="1:13" x14ac:dyDescent="0.25">
      <c r="A205" t="s">
        <v>136</v>
      </c>
      <c r="B205" s="2">
        <v>45702</v>
      </c>
      <c r="C205" t="s">
        <v>17</v>
      </c>
      <c r="D205" t="s">
        <v>2</v>
      </c>
      <c r="E205" t="s">
        <v>31</v>
      </c>
      <c r="F205" t="s">
        <v>32</v>
      </c>
      <c r="G205">
        <v>20</v>
      </c>
      <c r="H205">
        <v>5</v>
      </c>
      <c r="I205">
        <v>100</v>
      </c>
      <c r="J205" t="s">
        <v>24</v>
      </c>
      <c r="K205" t="s">
        <v>44</v>
      </c>
      <c r="L205" t="s">
        <v>36</v>
      </c>
      <c r="M205" t="s">
        <v>37</v>
      </c>
    </row>
    <row r="206" spans="1:13" x14ac:dyDescent="0.25">
      <c r="A206" t="s">
        <v>150</v>
      </c>
      <c r="B206" s="2">
        <v>45702</v>
      </c>
      <c r="C206" t="s">
        <v>17</v>
      </c>
      <c r="D206" t="s">
        <v>2</v>
      </c>
      <c r="E206" t="s">
        <v>29</v>
      </c>
      <c r="F206" t="s">
        <v>12</v>
      </c>
      <c r="G206">
        <v>150</v>
      </c>
      <c r="H206">
        <v>2</v>
      </c>
      <c r="I206">
        <v>300</v>
      </c>
      <c r="J206" t="s">
        <v>71</v>
      </c>
      <c r="K206" t="s">
        <v>42</v>
      </c>
      <c r="L206" t="s">
        <v>36</v>
      </c>
      <c r="M206" t="s">
        <v>15</v>
      </c>
    </row>
    <row r="207" spans="1:13" x14ac:dyDescent="0.25">
      <c r="A207" t="s">
        <v>240</v>
      </c>
      <c r="B207" s="2">
        <v>45702</v>
      </c>
      <c r="C207" t="s">
        <v>17</v>
      </c>
      <c r="D207" t="s">
        <v>2</v>
      </c>
      <c r="E207" t="s">
        <v>47</v>
      </c>
      <c r="F207" t="s">
        <v>48</v>
      </c>
      <c r="G207">
        <v>15</v>
      </c>
      <c r="H207">
        <v>1</v>
      </c>
      <c r="I207">
        <v>15</v>
      </c>
      <c r="J207" t="s">
        <v>19</v>
      </c>
      <c r="K207" t="s">
        <v>44</v>
      </c>
      <c r="L207" t="s">
        <v>21</v>
      </c>
      <c r="M207" t="s">
        <v>37</v>
      </c>
    </row>
    <row r="208" spans="1:13" x14ac:dyDescent="0.25">
      <c r="A208" t="s">
        <v>116</v>
      </c>
      <c r="B208" s="2">
        <v>45701</v>
      </c>
      <c r="C208" t="s">
        <v>17</v>
      </c>
      <c r="D208" t="s">
        <v>10</v>
      </c>
      <c r="E208" t="s">
        <v>63</v>
      </c>
      <c r="F208" t="s">
        <v>59</v>
      </c>
      <c r="G208">
        <v>1200</v>
      </c>
      <c r="H208">
        <v>4</v>
      </c>
      <c r="I208">
        <v>4800</v>
      </c>
      <c r="J208" t="s">
        <v>13</v>
      </c>
      <c r="K208" t="s">
        <v>20</v>
      </c>
      <c r="L208" t="s">
        <v>36</v>
      </c>
      <c r="M208" t="s">
        <v>15</v>
      </c>
    </row>
    <row r="209" spans="1:13" x14ac:dyDescent="0.25">
      <c r="A209" t="s">
        <v>152</v>
      </c>
      <c r="B209" s="2">
        <v>45701</v>
      </c>
      <c r="C209" t="s">
        <v>17</v>
      </c>
      <c r="D209" t="s">
        <v>10</v>
      </c>
      <c r="E209" t="s">
        <v>3</v>
      </c>
      <c r="F209" t="s">
        <v>4</v>
      </c>
      <c r="G209">
        <v>60</v>
      </c>
      <c r="H209">
        <v>1</v>
      </c>
      <c r="I209">
        <v>60</v>
      </c>
      <c r="J209" t="s">
        <v>79</v>
      </c>
      <c r="K209" t="s">
        <v>35</v>
      </c>
      <c r="L209" t="s">
        <v>56</v>
      </c>
      <c r="M209" t="s">
        <v>8</v>
      </c>
    </row>
    <row r="210" spans="1:13" x14ac:dyDescent="0.25">
      <c r="A210" t="s">
        <v>81</v>
      </c>
      <c r="B210" s="2">
        <v>45700</v>
      </c>
      <c r="C210" t="s">
        <v>17</v>
      </c>
      <c r="D210" t="s">
        <v>23</v>
      </c>
      <c r="E210" t="s">
        <v>40</v>
      </c>
      <c r="F210" t="s">
        <v>12</v>
      </c>
      <c r="G210">
        <v>500</v>
      </c>
      <c r="H210">
        <v>1</v>
      </c>
      <c r="I210">
        <v>500</v>
      </c>
      <c r="J210" t="s">
        <v>41</v>
      </c>
      <c r="K210" t="s">
        <v>20</v>
      </c>
      <c r="L210" t="s">
        <v>26</v>
      </c>
      <c r="M210" t="s">
        <v>8</v>
      </c>
    </row>
    <row r="211" spans="1:13" x14ac:dyDescent="0.25">
      <c r="A211" t="s">
        <v>258</v>
      </c>
      <c r="B211" s="2">
        <v>45700</v>
      </c>
      <c r="C211" t="s">
        <v>17</v>
      </c>
      <c r="D211" t="s">
        <v>23</v>
      </c>
      <c r="E211" t="s">
        <v>58</v>
      </c>
      <c r="F211" t="s">
        <v>59</v>
      </c>
      <c r="G211">
        <v>600</v>
      </c>
      <c r="H211">
        <v>5</v>
      </c>
      <c r="I211">
        <v>3000</v>
      </c>
      <c r="J211" t="s">
        <v>5</v>
      </c>
      <c r="K211" t="s">
        <v>42</v>
      </c>
      <c r="L211" t="s">
        <v>21</v>
      </c>
      <c r="M211" t="s">
        <v>15</v>
      </c>
    </row>
    <row r="212" spans="1:13" x14ac:dyDescent="0.25">
      <c r="A212" t="s">
        <v>280</v>
      </c>
      <c r="B212" s="2">
        <v>45700</v>
      </c>
      <c r="C212" t="s">
        <v>17</v>
      </c>
      <c r="D212" t="s">
        <v>23</v>
      </c>
      <c r="E212" t="s">
        <v>3</v>
      </c>
      <c r="F212" t="s">
        <v>4</v>
      </c>
      <c r="G212">
        <v>60</v>
      </c>
      <c r="H212">
        <v>1</v>
      </c>
      <c r="I212">
        <v>60</v>
      </c>
      <c r="J212" t="s">
        <v>49</v>
      </c>
      <c r="K212" t="s">
        <v>14</v>
      </c>
      <c r="L212" t="s">
        <v>26</v>
      </c>
      <c r="M212" t="s">
        <v>15</v>
      </c>
    </row>
    <row r="213" spans="1:13" x14ac:dyDescent="0.25">
      <c r="A213" t="s">
        <v>100</v>
      </c>
      <c r="B213" s="2">
        <v>45699</v>
      </c>
      <c r="C213" t="s">
        <v>17</v>
      </c>
      <c r="D213" t="s">
        <v>34</v>
      </c>
      <c r="E213" t="s">
        <v>31</v>
      </c>
      <c r="F213" t="s">
        <v>32</v>
      </c>
      <c r="G213">
        <v>20</v>
      </c>
      <c r="H213">
        <v>5</v>
      </c>
      <c r="I213">
        <v>100</v>
      </c>
      <c r="J213" t="s">
        <v>79</v>
      </c>
      <c r="K213" t="s">
        <v>20</v>
      </c>
      <c r="L213" t="s">
        <v>21</v>
      </c>
      <c r="M213" t="s">
        <v>37</v>
      </c>
    </row>
    <row r="214" spans="1:13" x14ac:dyDescent="0.25">
      <c r="A214" t="s">
        <v>188</v>
      </c>
      <c r="B214" s="2">
        <v>45699</v>
      </c>
      <c r="C214" t="s">
        <v>17</v>
      </c>
      <c r="D214" t="s">
        <v>34</v>
      </c>
      <c r="E214" t="s">
        <v>63</v>
      </c>
      <c r="F214" t="s">
        <v>59</v>
      </c>
      <c r="G214">
        <v>1200</v>
      </c>
      <c r="H214">
        <v>2</v>
      </c>
      <c r="I214">
        <v>2400</v>
      </c>
      <c r="J214" t="s">
        <v>55</v>
      </c>
      <c r="K214" t="s">
        <v>14</v>
      </c>
      <c r="L214" t="s">
        <v>36</v>
      </c>
      <c r="M214" t="s">
        <v>8</v>
      </c>
    </row>
    <row r="215" spans="1:13" x14ac:dyDescent="0.25">
      <c r="A215" t="s">
        <v>190</v>
      </c>
      <c r="B215" s="2">
        <v>45699</v>
      </c>
      <c r="C215" t="s">
        <v>17</v>
      </c>
      <c r="D215" t="s">
        <v>34</v>
      </c>
      <c r="E215" t="s">
        <v>29</v>
      </c>
      <c r="F215" t="s">
        <v>12</v>
      </c>
      <c r="G215">
        <v>150</v>
      </c>
      <c r="H215">
        <v>5</v>
      </c>
      <c r="I215">
        <v>750</v>
      </c>
      <c r="J215" t="s">
        <v>19</v>
      </c>
      <c r="K215" t="s">
        <v>67</v>
      </c>
      <c r="L215" t="s">
        <v>26</v>
      </c>
      <c r="M215" t="s">
        <v>8</v>
      </c>
    </row>
    <row r="216" spans="1:13" x14ac:dyDescent="0.25">
      <c r="A216" t="s">
        <v>289</v>
      </c>
      <c r="B216" s="2">
        <v>45699</v>
      </c>
      <c r="C216" t="s">
        <v>17</v>
      </c>
      <c r="D216" t="s">
        <v>34</v>
      </c>
      <c r="E216" t="s">
        <v>11</v>
      </c>
      <c r="F216" t="s">
        <v>12</v>
      </c>
      <c r="G216">
        <v>100</v>
      </c>
      <c r="H216">
        <v>3</v>
      </c>
      <c r="I216">
        <v>300</v>
      </c>
      <c r="J216" t="s">
        <v>52</v>
      </c>
      <c r="K216" t="s">
        <v>35</v>
      </c>
      <c r="L216" t="s">
        <v>7</v>
      </c>
      <c r="M216" t="s">
        <v>8</v>
      </c>
    </row>
    <row r="217" spans="1:13" x14ac:dyDescent="0.25">
      <c r="A217" t="s">
        <v>66</v>
      </c>
      <c r="B217" s="2">
        <v>45698</v>
      </c>
      <c r="C217" t="s">
        <v>17</v>
      </c>
      <c r="D217" t="s">
        <v>28</v>
      </c>
      <c r="E217" t="s">
        <v>40</v>
      </c>
      <c r="F217" t="s">
        <v>12</v>
      </c>
      <c r="G217">
        <v>500</v>
      </c>
      <c r="H217">
        <v>2</v>
      </c>
      <c r="I217">
        <v>1000</v>
      </c>
      <c r="J217" t="s">
        <v>52</v>
      </c>
      <c r="K217" t="s">
        <v>67</v>
      </c>
      <c r="L217" t="s">
        <v>21</v>
      </c>
      <c r="M217" t="s">
        <v>37</v>
      </c>
    </row>
    <row r="218" spans="1:13" x14ac:dyDescent="0.25">
      <c r="A218" t="s">
        <v>82</v>
      </c>
      <c r="B218" s="2">
        <v>45698</v>
      </c>
      <c r="C218" t="s">
        <v>17</v>
      </c>
      <c r="D218" t="s">
        <v>28</v>
      </c>
      <c r="E218" t="s">
        <v>58</v>
      </c>
      <c r="F218" t="s">
        <v>59</v>
      </c>
      <c r="G218">
        <v>600</v>
      </c>
      <c r="H218">
        <v>3</v>
      </c>
      <c r="I218">
        <v>1800</v>
      </c>
      <c r="J218" t="s">
        <v>13</v>
      </c>
      <c r="K218" t="s">
        <v>25</v>
      </c>
      <c r="L218" t="s">
        <v>56</v>
      </c>
      <c r="M218" t="s">
        <v>8</v>
      </c>
    </row>
    <row r="219" spans="1:13" x14ac:dyDescent="0.25">
      <c r="A219" t="s">
        <v>114</v>
      </c>
      <c r="B219" s="2">
        <v>45698</v>
      </c>
      <c r="C219" t="s">
        <v>17</v>
      </c>
      <c r="D219" t="s">
        <v>28</v>
      </c>
      <c r="E219" t="s">
        <v>54</v>
      </c>
      <c r="F219" t="s">
        <v>12</v>
      </c>
      <c r="G219">
        <v>800</v>
      </c>
      <c r="H219">
        <v>5</v>
      </c>
      <c r="I219">
        <v>4000</v>
      </c>
      <c r="J219" t="s">
        <v>24</v>
      </c>
      <c r="K219" t="s">
        <v>14</v>
      </c>
      <c r="L219" t="s">
        <v>36</v>
      </c>
      <c r="M219" t="s">
        <v>37</v>
      </c>
    </row>
    <row r="220" spans="1:13" x14ac:dyDescent="0.25">
      <c r="A220" t="s">
        <v>170</v>
      </c>
      <c r="B220" s="2">
        <v>45698</v>
      </c>
      <c r="C220" t="s">
        <v>17</v>
      </c>
      <c r="D220" t="s">
        <v>28</v>
      </c>
      <c r="E220" t="s">
        <v>11</v>
      </c>
      <c r="F220" t="s">
        <v>12</v>
      </c>
      <c r="G220">
        <v>100</v>
      </c>
      <c r="H220">
        <v>5</v>
      </c>
      <c r="I220">
        <v>500</v>
      </c>
      <c r="J220" t="s">
        <v>19</v>
      </c>
      <c r="K220" t="s">
        <v>35</v>
      </c>
      <c r="L220" t="s">
        <v>21</v>
      </c>
      <c r="M220" t="s">
        <v>37</v>
      </c>
    </row>
    <row r="221" spans="1:13" x14ac:dyDescent="0.25">
      <c r="A221" t="s">
        <v>176</v>
      </c>
      <c r="B221" s="2">
        <v>45698</v>
      </c>
      <c r="C221" t="s">
        <v>17</v>
      </c>
      <c r="D221" t="s">
        <v>28</v>
      </c>
      <c r="E221" t="s">
        <v>47</v>
      </c>
      <c r="F221" t="s">
        <v>48</v>
      </c>
      <c r="G221">
        <v>15</v>
      </c>
      <c r="H221">
        <v>1</v>
      </c>
      <c r="I221">
        <v>15</v>
      </c>
      <c r="J221" t="s">
        <v>5</v>
      </c>
      <c r="K221" t="s">
        <v>61</v>
      </c>
      <c r="L221" t="s">
        <v>56</v>
      </c>
      <c r="M221" t="s">
        <v>15</v>
      </c>
    </row>
    <row r="222" spans="1:13" x14ac:dyDescent="0.25">
      <c r="A222" t="s">
        <v>182</v>
      </c>
      <c r="B222" s="2">
        <v>45698</v>
      </c>
      <c r="C222" t="s">
        <v>17</v>
      </c>
      <c r="D222" t="s">
        <v>28</v>
      </c>
      <c r="E222" t="s">
        <v>29</v>
      </c>
      <c r="F222" t="s">
        <v>12</v>
      </c>
      <c r="G222">
        <v>150</v>
      </c>
      <c r="H222">
        <v>5</v>
      </c>
      <c r="I222">
        <v>750</v>
      </c>
      <c r="J222" t="s">
        <v>49</v>
      </c>
      <c r="K222" t="s">
        <v>44</v>
      </c>
      <c r="L222" t="s">
        <v>36</v>
      </c>
      <c r="M222" t="s">
        <v>37</v>
      </c>
    </row>
    <row r="223" spans="1:13" x14ac:dyDescent="0.25">
      <c r="A223" t="s">
        <v>187</v>
      </c>
      <c r="B223" s="2">
        <v>45698</v>
      </c>
      <c r="C223" t="s">
        <v>17</v>
      </c>
      <c r="D223" t="s">
        <v>28</v>
      </c>
      <c r="E223" t="s">
        <v>31</v>
      </c>
      <c r="F223" t="s">
        <v>32</v>
      </c>
      <c r="G223">
        <v>20</v>
      </c>
      <c r="H223">
        <v>1</v>
      </c>
      <c r="I223">
        <v>20</v>
      </c>
      <c r="J223" t="s">
        <v>24</v>
      </c>
      <c r="K223" t="s">
        <v>42</v>
      </c>
      <c r="L223" t="s">
        <v>26</v>
      </c>
      <c r="M223" t="s">
        <v>15</v>
      </c>
    </row>
    <row r="224" spans="1:13" x14ac:dyDescent="0.25">
      <c r="A224" t="s">
        <v>241</v>
      </c>
      <c r="B224" s="2">
        <v>45698</v>
      </c>
      <c r="C224" t="s">
        <v>17</v>
      </c>
      <c r="D224" t="s">
        <v>28</v>
      </c>
      <c r="E224" t="s">
        <v>54</v>
      </c>
      <c r="F224" t="s">
        <v>12</v>
      </c>
      <c r="G224">
        <v>800</v>
      </c>
      <c r="H224">
        <v>3</v>
      </c>
      <c r="I224">
        <v>2400</v>
      </c>
      <c r="J224" t="s">
        <v>79</v>
      </c>
      <c r="K224" t="s">
        <v>35</v>
      </c>
      <c r="L224" t="s">
        <v>21</v>
      </c>
      <c r="M224" t="s">
        <v>37</v>
      </c>
    </row>
    <row r="225" spans="1:13" x14ac:dyDescent="0.25">
      <c r="A225" t="s">
        <v>252</v>
      </c>
      <c r="B225" s="2">
        <v>45698</v>
      </c>
      <c r="C225" t="s">
        <v>17</v>
      </c>
      <c r="D225" t="s">
        <v>28</v>
      </c>
      <c r="E225" t="s">
        <v>47</v>
      </c>
      <c r="F225" t="s">
        <v>48</v>
      </c>
      <c r="G225">
        <v>15</v>
      </c>
      <c r="H225">
        <v>2</v>
      </c>
      <c r="I225">
        <v>30</v>
      </c>
      <c r="J225" t="s">
        <v>71</v>
      </c>
      <c r="K225" t="s">
        <v>67</v>
      </c>
      <c r="L225" t="s">
        <v>7</v>
      </c>
      <c r="M225" t="s">
        <v>37</v>
      </c>
    </row>
    <row r="226" spans="1:13" x14ac:dyDescent="0.25">
      <c r="A226" t="s">
        <v>272</v>
      </c>
      <c r="B226" s="2">
        <v>45698</v>
      </c>
      <c r="C226" t="s">
        <v>17</v>
      </c>
      <c r="D226" t="s">
        <v>28</v>
      </c>
      <c r="E226" t="s">
        <v>29</v>
      </c>
      <c r="F226" t="s">
        <v>12</v>
      </c>
      <c r="G226">
        <v>150</v>
      </c>
      <c r="H226">
        <v>3</v>
      </c>
      <c r="I226">
        <v>450</v>
      </c>
      <c r="J226" t="s">
        <v>52</v>
      </c>
      <c r="K226" t="s">
        <v>20</v>
      </c>
      <c r="L226" t="s">
        <v>7</v>
      </c>
      <c r="M226" t="s">
        <v>37</v>
      </c>
    </row>
    <row r="227" spans="1:13" x14ac:dyDescent="0.25">
      <c r="A227" t="s">
        <v>88</v>
      </c>
      <c r="B227" s="2">
        <v>45697</v>
      </c>
      <c r="C227" t="s">
        <v>17</v>
      </c>
      <c r="D227" t="s">
        <v>39</v>
      </c>
      <c r="E227" t="s">
        <v>63</v>
      </c>
      <c r="F227" t="s">
        <v>59</v>
      </c>
      <c r="G227">
        <v>1200</v>
      </c>
      <c r="H227">
        <v>2</v>
      </c>
      <c r="I227">
        <v>2400</v>
      </c>
      <c r="J227" t="s">
        <v>41</v>
      </c>
      <c r="K227" t="s">
        <v>44</v>
      </c>
      <c r="L227" t="s">
        <v>36</v>
      </c>
      <c r="M227" t="s">
        <v>8</v>
      </c>
    </row>
    <row r="228" spans="1:13" x14ac:dyDescent="0.25">
      <c r="A228" t="s">
        <v>214</v>
      </c>
      <c r="B228" s="2">
        <v>45697</v>
      </c>
      <c r="C228" t="s">
        <v>17</v>
      </c>
      <c r="D228" t="s">
        <v>39</v>
      </c>
      <c r="E228" t="s">
        <v>40</v>
      </c>
      <c r="F228" t="s">
        <v>12</v>
      </c>
      <c r="G228">
        <v>500</v>
      </c>
      <c r="H228">
        <v>2</v>
      </c>
      <c r="I228">
        <v>1000</v>
      </c>
      <c r="J228" t="s">
        <v>24</v>
      </c>
      <c r="K228" t="s">
        <v>80</v>
      </c>
      <c r="L228" t="s">
        <v>26</v>
      </c>
      <c r="M228" t="s">
        <v>37</v>
      </c>
    </row>
    <row r="229" spans="1:13" x14ac:dyDescent="0.25">
      <c r="A229" t="s">
        <v>292</v>
      </c>
      <c r="B229" s="2">
        <v>45697</v>
      </c>
      <c r="C229" t="s">
        <v>17</v>
      </c>
      <c r="D229" t="s">
        <v>39</v>
      </c>
      <c r="E229" t="s">
        <v>29</v>
      </c>
      <c r="F229" t="s">
        <v>12</v>
      </c>
      <c r="G229">
        <v>150</v>
      </c>
      <c r="H229">
        <v>1</v>
      </c>
      <c r="I229">
        <v>150</v>
      </c>
      <c r="J229" t="s">
        <v>19</v>
      </c>
      <c r="K229" t="s">
        <v>20</v>
      </c>
      <c r="L229" t="s">
        <v>56</v>
      </c>
      <c r="M229" t="s">
        <v>15</v>
      </c>
    </row>
    <row r="230" spans="1:13" x14ac:dyDescent="0.25">
      <c r="A230" t="s">
        <v>95</v>
      </c>
      <c r="B230" s="2">
        <v>45696</v>
      </c>
      <c r="C230" t="s">
        <v>17</v>
      </c>
      <c r="D230" t="s">
        <v>18</v>
      </c>
      <c r="E230" t="s">
        <v>31</v>
      </c>
      <c r="F230" t="s">
        <v>32</v>
      </c>
      <c r="G230">
        <v>20</v>
      </c>
      <c r="H230">
        <v>4</v>
      </c>
      <c r="I230">
        <v>80</v>
      </c>
      <c r="J230" t="s">
        <v>79</v>
      </c>
      <c r="K230" t="s">
        <v>20</v>
      </c>
      <c r="L230" t="s">
        <v>26</v>
      </c>
      <c r="M230" t="s">
        <v>15</v>
      </c>
    </row>
    <row r="231" spans="1:13" x14ac:dyDescent="0.25">
      <c r="A231" t="s">
        <v>202</v>
      </c>
      <c r="B231" s="2">
        <v>45696</v>
      </c>
      <c r="C231" t="s">
        <v>17</v>
      </c>
      <c r="D231" t="s">
        <v>18</v>
      </c>
      <c r="E231" t="s">
        <v>47</v>
      </c>
      <c r="F231" t="s">
        <v>48</v>
      </c>
      <c r="G231">
        <v>15</v>
      </c>
      <c r="H231">
        <v>4</v>
      </c>
      <c r="I231">
        <v>60</v>
      </c>
      <c r="J231" t="s">
        <v>55</v>
      </c>
      <c r="K231" t="s">
        <v>80</v>
      </c>
      <c r="L231" t="s">
        <v>56</v>
      </c>
      <c r="M231" t="s">
        <v>8</v>
      </c>
    </row>
    <row r="232" spans="1:13" x14ac:dyDescent="0.25">
      <c r="A232" t="s">
        <v>209</v>
      </c>
      <c r="B232" s="2">
        <v>45696</v>
      </c>
      <c r="C232" t="s">
        <v>17</v>
      </c>
      <c r="D232" t="s">
        <v>18</v>
      </c>
      <c r="E232" t="s">
        <v>40</v>
      </c>
      <c r="F232" t="s">
        <v>12</v>
      </c>
      <c r="G232">
        <v>500</v>
      </c>
      <c r="H232">
        <v>3</v>
      </c>
      <c r="I232">
        <v>1500</v>
      </c>
      <c r="J232" t="s">
        <v>41</v>
      </c>
      <c r="K232" t="s">
        <v>20</v>
      </c>
      <c r="L232" t="s">
        <v>26</v>
      </c>
      <c r="M232" t="s">
        <v>15</v>
      </c>
    </row>
    <row r="233" spans="1:13" x14ac:dyDescent="0.25">
      <c r="A233" t="s">
        <v>77</v>
      </c>
      <c r="B233" s="2">
        <v>45695</v>
      </c>
      <c r="C233" t="s">
        <v>17</v>
      </c>
      <c r="D233" t="s">
        <v>2</v>
      </c>
      <c r="E233" t="s">
        <v>31</v>
      </c>
      <c r="F233" t="s">
        <v>32</v>
      </c>
      <c r="G233">
        <v>20</v>
      </c>
      <c r="H233">
        <v>1</v>
      </c>
      <c r="I233">
        <v>20</v>
      </c>
      <c r="J233" t="s">
        <v>55</v>
      </c>
      <c r="K233" t="s">
        <v>6</v>
      </c>
      <c r="L233" t="s">
        <v>21</v>
      </c>
      <c r="M233" t="s">
        <v>15</v>
      </c>
    </row>
    <row r="234" spans="1:13" x14ac:dyDescent="0.25">
      <c r="A234" t="s">
        <v>186</v>
      </c>
      <c r="B234" s="2">
        <v>45695</v>
      </c>
      <c r="C234" t="s">
        <v>17</v>
      </c>
      <c r="D234" t="s">
        <v>2</v>
      </c>
      <c r="E234" t="s">
        <v>40</v>
      </c>
      <c r="F234" t="s">
        <v>12</v>
      </c>
      <c r="G234">
        <v>500</v>
      </c>
      <c r="H234">
        <v>5</v>
      </c>
      <c r="I234">
        <v>2500</v>
      </c>
      <c r="J234" t="s">
        <v>49</v>
      </c>
      <c r="K234" t="s">
        <v>80</v>
      </c>
      <c r="L234" t="s">
        <v>56</v>
      </c>
      <c r="M234" t="s">
        <v>15</v>
      </c>
    </row>
    <row r="235" spans="1:13" x14ac:dyDescent="0.25">
      <c r="A235" t="s">
        <v>137</v>
      </c>
      <c r="B235" s="2">
        <v>45694</v>
      </c>
      <c r="C235" t="s">
        <v>17</v>
      </c>
      <c r="D235" t="s">
        <v>10</v>
      </c>
      <c r="E235" t="s">
        <v>40</v>
      </c>
      <c r="F235" t="s">
        <v>12</v>
      </c>
      <c r="G235">
        <v>500</v>
      </c>
      <c r="H235">
        <v>5</v>
      </c>
      <c r="I235">
        <v>2500</v>
      </c>
      <c r="J235" t="s">
        <v>52</v>
      </c>
      <c r="K235" t="s">
        <v>35</v>
      </c>
      <c r="L235" t="s">
        <v>36</v>
      </c>
      <c r="M235" t="s">
        <v>37</v>
      </c>
    </row>
    <row r="236" spans="1:13" x14ac:dyDescent="0.25">
      <c r="A236" t="s">
        <v>140</v>
      </c>
      <c r="B236" s="2">
        <v>45694</v>
      </c>
      <c r="C236" t="s">
        <v>17</v>
      </c>
      <c r="D236" t="s">
        <v>10</v>
      </c>
      <c r="E236" t="s">
        <v>63</v>
      </c>
      <c r="F236" t="s">
        <v>59</v>
      </c>
      <c r="G236">
        <v>1200</v>
      </c>
      <c r="H236">
        <v>2</v>
      </c>
      <c r="I236">
        <v>2400</v>
      </c>
      <c r="J236" t="s">
        <v>71</v>
      </c>
      <c r="K236" t="s">
        <v>61</v>
      </c>
      <c r="L236" t="s">
        <v>7</v>
      </c>
      <c r="M236" t="s">
        <v>15</v>
      </c>
    </row>
    <row r="237" spans="1:13" x14ac:dyDescent="0.25">
      <c r="A237" t="s">
        <v>200</v>
      </c>
      <c r="B237" s="2">
        <v>45694</v>
      </c>
      <c r="C237" t="s">
        <v>17</v>
      </c>
      <c r="D237" t="s">
        <v>10</v>
      </c>
      <c r="E237" t="s">
        <v>11</v>
      </c>
      <c r="F237" t="s">
        <v>12</v>
      </c>
      <c r="G237">
        <v>100</v>
      </c>
      <c r="H237">
        <v>4</v>
      </c>
      <c r="I237">
        <v>400</v>
      </c>
      <c r="J237" t="s">
        <v>13</v>
      </c>
      <c r="K237" t="s">
        <v>67</v>
      </c>
      <c r="L237" t="s">
        <v>21</v>
      </c>
      <c r="M237" t="s">
        <v>8</v>
      </c>
    </row>
    <row r="238" spans="1:13" x14ac:dyDescent="0.25">
      <c r="A238" t="s">
        <v>212</v>
      </c>
      <c r="B238" s="2">
        <v>45694</v>
      </c>
      <c r="C238" t="s">
        <v>17</v>
      </c>
      <c r="D238" t="s">
        <v>10</v>
      </c>
      <c r="E238" t="s">
        <v>58</v>
      </c>
      <c r="F238" t="s">
        <v>59</v>
      </c>
      <c r="G238">
        <v>600</v>
      </c>
      <c r="H238">
        <v>3</v>
      </c>
      <c r="I238">
        <v>1800</v>
      </c>
      <c r="J238" t="s">
        <v>24</v>
      </c>
      <c r="K238" t="s">
        <v>20</v>
      </c>
      <c r="L238" t="s">
        <v>56</v>
      </c>
      <c r="M238" t="s">
        <v>8</v>
      </c>
    </row>
    <row r="239" spans="1:13" x14ac:dyDescent="0.25">
      <c r="A239" t="s">
        <v>230</v>
      </c>
      <c r="B239" s="2">
        <v>45694</v>
      </c>
      <c r="C239" t="s">
        <v>17</v>
      </c>
      <c r="D239" t="s">
        <v>10</v>
      </c>
      <c r="E239" t="s">
        <v>40</v>
      </c>
      <c r="F239" t="s">
        <v>12</v>
      </c>
      <c r="G239">
        <v>500</v>
      </c>
      <c r="H239">
        <v>3</v>
      </c>
      <c r="I239">
        <v>1500</v>
      </c>
      <c r="J239" t="s">
        <v>13</v>
      </c>
      <c r="K239" t="s">
        <v>80</v>
      </c>
      <c r="L239" t="s">
        <v>36</v>
      </c>
      <c r="M239" t="s">
        <v>37</v>
      </c>
    </row>
    <row r="240" spans="1:13" x14ac:dyDescent="0.25">
      <c r="A240" t="s">
        <v>265</v>
      </c>
      <c r="B240" s="2">
        <v>45694</v>
      </c>
      <c r="C240" t="s">
        <v>17</v>
      </c>
      <c r="D240" t="s">
        <v>10</v>
      </c>
      <c r="E240" t="s">
        <v>54</v>
      </c>
      <c r="F240" t="s">
        <v>12</v>
      </c>
      <c r="G240">
        <v>800</v>
      </c>
      <c r="H240">
        <v>1</v>
      </c>
      <c r="I240">
        <v>800</v>
      </c>
      <c r="J240" t="s">
        <v>79</v>
      </c>
      <c r="K240" t="s">
        <v>67</v>
      </c>
      <c r="L240" t="s">
        <v>21</v>
      </c>
      <c r="M240" t="s">
        <v>8</v>
      </c>
    </row>
    <row r="241" spans="1:13" x14ac:dyDescent="0.25">
      <c r="A241" t="s">
        <v>296</v>
      </c>
      <c r="B241" s="2">
        <v>45694</v>
      </c>
      <c r="C241" t="s">
        <v>17</v>
      </c>
      <c r="D241" t="s">
        <v>10</v>
      </c>
      <c r="E241" t="s">
        <v>40</v>
      </c>
      <c r="F241" t="s">
        <v>12</v>
      </c>
      <c r="G241">
        <v>500</v>
      </c>
      <c r="H241">
        <v>4</v>
      </c>
      <c r="I241">
        <v>2000</v>
      </c>
      <c r="J241" t="s">
        <v>5</v>
      </c>
      <c r="K241" t="s">
        <v>35</v>
      </c>
      <c r="L241" t="s">
        <v>26</v>
      </c>
      <c r="M241" t="s">
        <v>37</v>
      </c>
    </row>
    <row r="242" spans="1:13" x14ac:dyDescent="0.25">
      <c r="A242" t="s">
        <v>70</v>
      </c>
      <c r="B242" s="2">
        <v>45693</v>
      </c>
      <c r="C242" t="s">
        <v>17</v>
      </c>
      <c r="D242" t="s">
        <v>23</v>
      </c>
      <c r="E242" t="s">
        <v>11</v>
      </c>
      <c r="F242" t="s">
        <v>12</v>
      </c>
      <c r="G242">
        <v>100</v>
      </c>
      <c r="H242">
        <v>3</v>
      </c>
      <c r="I242">
        <v>300</v>
      </c>
      <c r="J242" t="s">
        <v>71</v>
      </c>
      <c r="K242" t="s">
        <v>42</v>
      </c>
      <c r="L242" t="s">
        <v>7</v>
      </c>
      <c r="M242" t="s">
        <v>8</v>
      </c>
    </row>
    <row r="243" spans="1:13" x14ac:dyDescent="0.25">
      <c r="A243" t="s">
        <v>199</v>
      </c>
      <c r="B243" s="2">
        <v>45693</v>
      </c>
      <c r="C243" t="s">
        <v>17</v>
      </c>
      <c r="D243" t="s">
        <v>23</v>
      </c>
      <c r="E243" t="s">
        <v>3</v>
      </c>
      <c r="F243" t="s">
        <v>4</v>
      </c>
      <c r="G243">
        <v>60</v>
      </c>
      <c r="H243">
        <v>5</v>
      </c>
      <c r="I243">
        <v>300</v>
      </c>
      <c r="J243" t="s">
        <v>79</v>
      </c>
      <c r="K243" t="s">
        <v>25</v>
      </c>
      <c r="L243" t="s">
        <v>36</v>
      </c>
      <c r="M243" t="s">
        <v>15</v>
      </c>
    </row>
    <row r="244" spans="1:13" x14ac:dyDescent="0.25">
      <c r="A244" t="s">
        <v>207</v>
      </c>
      <c r="B244" s="2">
        <v>45693</v>
      </c>
      <c r="C244" t="s">
        <v>17</v>
      </c>
      <c r="D244" t="s">
        <v>23</v>
      </c>
      <c r="E244" t="s">
        <v>63</v>
      </c>
      <c r="F244" t="s">
        <v>59</v>
      </c>
      <c r="G244">
        <v>1200</v>
      </c>
      <c r="H244">
        <v>4</v>
      </c>
      <c r="I244">
        <v>4800</v>
      </c>
      <c r="J244" t="s">
        <v>41</v>
      </c>
      <c r="K244" t="s">
        <v>61</v>
      </c>
      <c r="L244" t="s">
        <v>26</v>
      </c>
      <c r="M244" t="s">
        <v>15</v>
      </c>
    </row>
    <row r="245" spans="1:13" x14ac:dyDescent="0.25">
      <c r="A245" t="s">
        <v>85</v>
      </c>
      <c r="B245" s="2">
        <v>45692</v>
      </c>
      <c r="C245" t="s">
        <v>17</v>
      </c>
      <c r="D245" t="s">
        <v>34</v>
      </c>
      <c r="E245" t="s">
        <v>47</v>
      </c>
      <c r="F245" t="s">
        <v>48</v>
      </c>
      <c r="G245">
        <v>15</v>
      </c>
      <c r="H245">
        <v>1</v>
      </c>
      <c r="I245">
        <v>15</v>
      </c>
      <c r="J245" t="s">
        <v>24</v>
      </c>
      <c r="K245" t="s">
        <v>6</v>
      </c>
      <c r="L245" t="s">
        <v>7</v>
      </c>
      <c r="M245" t="s">
        <v>8</v>
      </c>
    </row>
    <row r="246" spans="1:13" x14ac:dyDescent="0.25">
      <c r="A246" t="s">
        <v>178</v>
      </c>
      <c r="B246" s="2">
        <v>45692</v>
      </c>
      <c r="C246" t="s">
        <v>17</v>
      </c>
      <c r="D246" t="s">
        <v>34</v>
      </c>
      <c r="E246" t="s">
        <v>63</v>
      </c>
      <c r="F246" t="s">
        <v>59</v>
      </c>
      <c r="G246">
        <v>1200</v>
      </c>
      <c r="H246">
        <v>5</v>
      </c>
      <c r="I246">
        <v>6000</v>
      </c>
      <c r="J246" t="s">
        <v>24</v>
      </c>
      <c r="K246" t="s">
        <v>80</v>
      </c>
      <c r="L246" t="s">
        <v>56</v>
      </c>
      <c r="M246" t="s">
        <v>15</v>
      </c>
    </row>
    <row r="247" spans="1:13" x14ac:dyDescent="0.25">
      <c r="A247" t="s">
        <v>297</v>
      </c>
      <c r="B247" s="2">
        <v>45692</v>
      </c>
      <c r="C247" t="s">
        <v>17</v>
      </c>
      <c r="D247" t="s">
        <v>34</v>
      </c>
      <c r="E247" t="s">
        <v>54</v>
      </c>
      <c r="F247" t="s">
        <v>12</v>
      </c>
      <c r="G247">
        <v>800</v>
      </c>
      <c r="H247">
        <v>1</v>
      </c>
      <c r="I247">
        <v>800</v>
      </c>
      <c r="J247" t="s">
        <v>52</v>
      </c>
      <c r="K247" t="s">
        <v>67</v>
      </c>
      <c r="L247" t="s">
        <v>26</v>
      </c>
      <c r="M247" t="s">
        <v>8</v>
      </c>
    </row>
    <row r="248" spans="1:13" x14ac:dyDescent="0.25">
      <c r="A248" t="s">
        <v>78</v>
      </c>
      <c r="B248" s="2">
        <v>45691</v>
      </c>
      <c r="C248" t="s">
        <v>17</v>
      </c>
      <c r="D248" t="s">
        <v>28</v>
      </c>
      <c r="E248" t="s">
        <v>11</v>
      </c>
      <c r="F248" t="s">
        <v>12</v>
      </c>
      <c r="G248">
        <v>100</v>
      </c>
      <c r="H248">
        <v>1</v>
      </c>
      <c r="I248">
        <v>100</v>
      </c>
      <c r="J248" t="s">
        <v>79</v>
      </c>
      <c r="K248" t="s">
        <v>80</v>
      </c>
      <c r="L248" t="s">
        <v>21</v>
      </c>
      <c r="M248" t="s">
        <v>37</v>
      </c>
    </row>
    <row r="249" spans="1:13" x14ac:dyDescent="0.25">
      <c r="A249" t="s">
        <v>143</v>
      </c>
      <c r="B249" s="2">
        <v>45691</v>
      </c>
      <c r="C249" t="s">
        <v>17</v>
      </c>
      <c r="D249" t="s">
        <v>28</v>
      </c>
      <c r="E249" t="s">
        <v>54</v>
      </c>
      <c r="F249" t="s">
        <v>12</v>
      </c>
      <c r="G249">
        <v>800</v>
      </c>
      <c r="H249">
        <v>4</v>
      </c>
      <c r="I249">
        <v>3200</v>
      </c>
      <c r="J249" t="s">
        <v>55</v>
      </c>
      <c r="K249" t="s">
        <v>35</v>
      </c>
      <c r="L249" t="s">
        <v>56</v>
      </c>
      <c r="M249" t="s">
        <v>15</v>
      </c>
    </row>
    <row r="250" spans="1:13" x14ac:dyDescent="0.25">
      <c r="A250" t="s">
        <v>253</v>
      </c>
      <c r="B250" s="2">
        <v>45691</v>
      </c>
      <c r="C250" t="s">
        <v>17</v>
      </c>
      <c r="D250" t="s">
        <v>28</v>
      </c>
      <c r="E250" t="s">
        <v>47</v>
      </c>
      <c r="F250" t="s">
        <v>48</v>
      </c>
      <c r="G250">
        <v>15</v>
      </c>
      <c r="H250">
        <v>4</v>
      </c>
      <c r="I250">
        <v>60</v>
      </c>
      <c r="J250" t="s">
        <v>52</v>
      </c>
      <c r="K250" t="s">
        <v>14</v>
      </c>
      <c r="L250" t="s">
        <v>26</v>
      </c>
      <c r="M250" t="s">
        <v>37</v>
      </c>
    </row>
    <row r="251" spans="1:13" x14ac:dyDescent="0.25">
      <c r="A251" t="s">
        <v>260</v>
      </c>
      <c r="B251" s="2">
        <v>45690</v>
      </c>
      <c r="C251" t="s">
        <v>17</v>
      </c>
      <c r="D251" t="s">
        <v>39</v>
      </c>
      <c r="E251" t="s">
        <v>63</v>
      </c>
      <c r="F251" t="s">
        <v>59</v>
      </c>
      <c r="G251">
        <v>1200</v>
      </c>
      <c r="H251">
        <v>3</v>
      </c>
      <c r="I251">
        <v>3600</v>
      </c>
      <c r="J251" t="s">
        <v>19</v>
      </c>
      <c r="K251" t="s">
        <v>42</v>
      </c>
      <c r="L251" t="s">
        <v>36</v>
      </c>
      <c r="M251" t="s">
        <v>37</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1B1FB14-682A-4848-832E-B096F57AC137}">
  <ds:schemaRefs/>
</ds:datastoreItem>
</file>

<file path=customXml/itemProps2.xml><?xml version="1.0" encoding="utf-8"?>
<ds:datastoreItem xmlns:ds="http://schemas.openxmlformats.org/officeDocument/2006/customXml" ds:itemID="{C11A71A9-5592-48CA-B27B-19385A65D180}">
  <ds:schemaRefs/>
</ds:datastoreItem>
</file>

<file path=customXml/itemProps3.xml><?xml version="1.0" encoding="utf-8"?>
<ds:datastoreItem xmlns:ds="http://schemas.openxmlformats.org/officeDocument/2006/customXml" ds:itemID="{CC9AB4FF-A01B-487B-A069-681667A4E1C6}">
  <ds:schemaRefs/>
</ds:datastoreItem>
</file>

<file path=customXml/itemProps4.xml><?xml version="1.0" encoding="utf-8"?>
<ds:datastoreItem xmlns:ds="http://schemas.openxmlformats.org/officeDocument/2006/customXml" ds:itemID="{A0231111-3540-4250-94B6-5D4FBFEE2E3A}">
  <ds:schemaRefs/>
</ds:datastoreItem>
</file>

<file path=customXml/itemProps5.xml><?xml version="1.0" encoding="utf-8"?>
<ds:datastoreItem xmlns:ds="http://schemas.openxmlformats.org/officeDocument/2006/customXml" ds:itemID="{3E487DD0-A43E-4763-A207-E4F014D062D5}">
  <ds:schemaRefs/>
</ds:datastoreItem>
</file>

<file path=customXml/itemProps6.xml><?xml version="1.0" encoding="utf-8"?>
<ds:datastoreItem xmlns:ds="http://schemas.openxmlformats.org/officeDocument/2006/customXml" ds:itemID="{38CBC52A-38CF-483C-9A51-55ED588AD870}">
  <ds:schemaRefs/>
</ds:datastoreItem>
</file>

<file path=customXml/itemProps7.xml><?xml version="1.0" encoding="utf-8"?>
<ds:datastoreItem xmlns:ds="http://schemas.openxmlformats.org/officeDocument/2006/customXml" ds:itemID="{2390CB19-3BD0-4382-A487-C64BF8FFEBA0}">
  <ds:schemaRefs/>
</ds:datastoreItem>
</file>

<file path=customXml/itemProps8.xml><?xml version="1.0" encoding="utf-8"?>
<ds:datastoreItem xmlns:ds="http://schemas.openxmlformats.org/officeDocument/2006/customXml" ds:itemID="{6BEFB00F-A7A3-407E-961B-6286D9E5F9C4}">
  <ds:schemaRefs/>
</ds:datastoreItem>
</file>

<file path=customXml/itemProps9.xml><?xml version="1.0" encoding="utf-8"?>
<ds:datastoreItem xmlns:ds="http://schemas.openxmlformats.org/officeDocument/2006/customXml" ds:itemID="{D8721784-F165-43E7-A135-054D2760CDDD}">
  <ds:schemaRefs>
    <ds:schemaRef ds:uri="http://schemas.microsoft.com/DataMashup"/>
  </ds:schemaRefs>
</ds:datastoreItem>
</file>

<file path=customXml/itemProps10.xml><?xml version="1.0" encoding="utf-8"?>
<ds:datastoreItem xmlns:ds="http://schemas.openxmlformats.org/officeDocument/2006/customXml" ds:itemID="{B1E88F23-4D9C-4BA2-9F84-829B04E8B88C}">
  <ds:schemaRefs/>
</ds:datastoreItem>
</file>

<file path=customXml/itemProps11.xml><?xml version="1.0" encoding="utf-8"?>
<ds:datastoreItem xmlns:ds="http://schemas.openxmlformats.org/officeDocument/2006/customXml" ds:itemID="{568C5243-B9A3-4DFC-9D39-E54D9C1BE3F2}">
  <ds:schemaRefs/>
</ds:datastoreItem>
</file>

<file path=customXml/itemProps12.xml><?xml version="1.0" encoding="utf-8"?>
<ds:datastoreItem xmlns:ds="http://schemas.openxmlformats.org/officeDocument/2006/customXml" ds:itemID="{833CE059-8CCD-4E17-8ED9-544676596B0C}">
  <ds:schemaRefs/>
</ds:datastoreItem>
</file>

<file path=customXml/itemProps13.xml><?xml version="1.0" encoding="utf-8"?>
<ds:datastoreItem xmlns:ds="http://schemas.openxmlformats.org/officeDocument/2006/customXml" ds:itemID="{DDF3331C-A50A-47C1-9743-CAFEA5CB573E}">
  <ds:schemaRefs/>
</ds:datastoreItem>
</file>

<file path=customXml/itemProps14.xml><?xml version="1.0" encoding="utf-8"?>
<ds:datastoreItem xmlns:ds="http://schemas.openxmlformats.org/officeDocument/2006/customXml" ds:itemID="{312928E2-93F4-4732-B30A-4B49E5F31103}">
  <ds:schemaRefs/>
</ds:datastoreItem>
</file>

<file path=customXml/itemProps15.xml><?xml version="1.0" encoding="utf-8"?>
<ds:datastoreItem xmlns:ds="http://schemas.openxmlformats.org/officeDocument/2006/customXml" ds:itemID="{78ADB579-C943-4A59-9008-5937923BAFA1}">
  <ds:schemaRefs/>
</ds:datastoreItem>
</file>

<file path=customXml/itemProps16.xml><?xml version="1.0" encoding="utf-8"?>
<ds:datastoreItem xmlns:ds="http://schemas.openxmlformats.org/officeDocument/2006/customXml" ds:itemID="{0A3A826F-1C0C-4BB7-B7AA-B6732F6FE3D2}">
  <ds:schemaRefs/>
</ds:datastoreItem>
</file>

<file path=customXml/itemProps17.xml><?xml version="1.0" encoding="utf-8"?>
<ds:datastoreItem xmlns:ds="http://schemas.openxmlformats.org/officeDocument/2006/customXml" ds:itemID="{9EEAE2C0-77E0-488B-BE5A-0F0CCA88C3BD}">
  <ds:schemaRefs/>
</ds:datastoreItem>
</file>

<file path=customXml/itemProps18.xml><?xml version="1.0" encoding="utf-8"?>
<ds:datastoreItem xmlns:ds="http://schemas.openxmlformats.org/officeDocument/2006/customXml" ds:itemID="{135EE421-C5BC-443B-833F-591B9A9118BB}">
  <ds:schemaRefs/>
</ds:datastoreItem>
</file>

<file path=customXml/itemProps19.xml><?xml version="1.0" encoding="utf-8"?>
<ds:datastoreItem xmlns:ds="http://schemas.openxmlformats.org/officeDocument/2006/customXml" ds:itemID="{DA37C9C0-F89D-4248-AF86-96E03BCBC1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Data_Analyze</vt:lpstr>
      <vt:lpstr>Transaction_ALL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 Yogaswara</dc:creator>
  <cp:lastModifiedBy>Rama Yogaswara</cp:lastModifiedBy>
  <cp:lastPrinted>2025-11-10T03:53:11Z</cp:lastPrinted>
  <dcterms:created xsi:type="dcterms:W3CDTF">2025-08-27T12:55:36Z</dcterms:created>
  <dcterms:modified xsi:type="dcterms:W3CDTF">2025-12-15T13:47:44Z</dcterms:modified>
</cp:coreProperties>
</file>